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C:\Users\jmrob\Projects\billback-proc\"/>
    </mc:Choice>
  </mc:AlternateContent>
  <xr:revisionPtr revIDLastSave="0" documentId="13_ncr:1_{B5F119EC-550E-45DD-A02F-00B22346E593}" xr6:coauthVersionLast="47" xr6:coauthVersionMax="47" xr10:uidLastSave="{00000000-0000-0000-0000-000000000000}"/>
  <bookViews>
    <workbookView xWindow="-120" yWindow="-120" windowWidth="20730" windowHeight="11040" tabRatio="500" xr2:uid="{00000000-000D-0000-FFFF-FFFF00000000}"/>
  </bookViews>
  <sheets>
    <sheet name="Rebill Sheet" sheetId="1" r:id="rId1"/>
    <sheet name="Rebill Sheet (2)" sheetId="2" state="hidden" r:id="rId2"/>
    <sheet name="Keys" sheetId="3" state="hidden" r:id="rId3"/>
    <sheet name="Paclease Customers 081919" sheetId="4" state="hidden" r:id="rId4"/>
    <sheet name="Paclease Customers 121216" sheetId="5" state="hidden" r:id="rId5"/>
    <sheet name="LaborRates" sheetId="6" r:id="rId6"/>
  </sheets>
  <definedNames>
    <definedName name="_xlnm._FilterDatabase" localSheetId="3" hidden="1">'Paclease Customers 081919'!$A$1:$E$214</definedName>
    <definedName name="_xlnm.Print_Area" localSheetId="0">'Rebill Sheet'!$A$1:$S$47</definedName>
    <definedName name="_xlnm.Print_Area" localSheetId="1">'Rebill Sheet (2)'!$B$1:$R$11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R15" i="1" l="1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Q304" i="2"/>
  <c r="R304" i="2" s="1"/>
  <c r="O304" i="2"/>
  <c r="N304" i="2"/>
  <c r="Q303" i="2"/>
  <c r="R303" i="2" s="1"/>
  <c r="O303" i="2"/>
  <c r="N303" i="2"/>
  <c r="Q302" i="2"/>
  <c r="R302" i="2" s="1"/>
  <c r="O302" i="2"/>
  <c r="N302" i="2"/>
  <c r="Q301" i="2"/>
  <c r="R301" i="2" s="1"/>
  <c r="O301" i="2"/>
  <c r="N301" i="2"/>
  <c r="Q300" i="2"/>
  <c r="R300" i="2" s="1"/>
  <c r="O300" i="2"/>
  <c r="N300" i="2"/>
  <c r="Q299" i="2"/>
  <c r="R299" i="2" s="1"/>
  <c r="O299" i="2"/>
  <c r="N299" i="2"/>
  <c r="Q298" i="2"/>
  <c r="R298" i="2" s="1"/>
  <c r="O298" i="2"/>
  <c r="N298" i="2"/>
  <c r="Q297" i="2"/>
  <c r="R297" i="2" s="1"/>
  <c r="O297" i="2"/>
  <c r="N297" i="2"/>
  <c r="Q296" i="2"/>
  <c r="R296" i="2" s="1"/>
  <c r="O296" i="2"/>
  <c r="N296" i="2"/>
  <c r="Q295" i="2"/>
  <c r="R295" i="2" s="1"/>
  <c r="O295" i="2"/>
  <c r="N295" i="2"/>
  <c r="Q294" i="2"/>
  <c r="R294" i="2" s="1"/>
  <c r="O294" i="2"/>
  <c r="N294" i="2"/>
  <c r="Q293" i="2"/>
  <c r="R293" i="2" s="1"/>
  <c r="O293" i="2"/>
  <c r="N293" i="2"/>
  <c r="Q292" i="2"/>
  <c r="R292" i="2" s="1"/>
  <c r="O292" i="2"/>
  <c r="N292" i="2"/>
  <c r="Q291" i="2"/>
  <c r="R291" i="2" s="1"/>
  <c r="O291" i="2"/>
  <c r="N291" i="2"/>
  <c r="Q290" i="2"/>
  <c r="R290" i="2" s="1"/>
  <c r="O290" i="2"/>
  <c r="N290" i="2"/>
  <c r="Q289" i="2"/>
  <c r="R289" i="2" s="1"/>
  <c r="O289" i="2"/>
  <c r="N289" i="2"/>
  <c r="Q288" i="2"/>
  <c r="R288" i="2" s="1"/>
  <c r="O288" i="2"/>
  <c r="N288" i="2"/>
  <c r="Q287" i="2"/>
  <c r="R287" i="2" s="1"/>
  <c r="O287" i="2"/>
  <c r="N287" i="2"/>
  <c r="Q286" i="2"/>
  <c r="R286" i="2" s="1"/>
  <c r="O286" i="2"/>
  <c r="N286" i="2"/>
  <c r="Q285" i="2"/>
  <c r="R285" i="2" s="1"/>
  <c r="O285" i="2"/>
  <c r="N285" i="2"/>
  <c r="Q284" i="2"/>
  <c r="R284" i="2" s="1"/>
  <c r="O284" i="2"/>
  <c r="N284" i="2"/>
  <c r="Q283" i="2"/>
  <c r="R283" i="2" s="1"/>
  <c r="O283" i="2"/>
  <c r="N283" i="2"/>
  <c r="Q282" i="2"/>
  <c r="R282" i="2" s="1"/>
  <c r="O282" i="2"/>
  <c r="N282" i="2"/>
  <c r="Q281" i="2"/>
  <c r="R281" i="2" s="1"/>
  <c r="O281" i="2"/>
  <c r="N281" i="2"/>
  <c r="Q280" i="2"/>
  <c r="R280" i="2" s="1"/>
  <c r="O280" i="2"/>
  <c r="N280" i="2"/>
  <c r="Q279" i="2"/>
  <c r="R279" i="2" s="1"/>
  <c r="O279" i="2"/>
  <c r="N279" i="2"/>
  <c r="Q278" i="2"/>
  <c r="R278" i="2" s="1"/>
  <c r="O278" i="2"/>
  <c r="N278" i="2"/>
  <c r="Q277" i="2"/>
  <c r="R277" i="2" s="1"/>
  <c r="O277" i="2"/>
  <c r="N277" i="2"/>
  <c r="Q276" i="2"/>
  <c r="R276" i="2" s="1"/>
  <c r="O276" i="2"/>
  <c r="N276" i="2"/>
  <c r="Q275" i="2"/>
  <c r="R275" i="2" s="1"/>
  <c r="O275" i="2"/>
  <c r="N275" i="2"/>
  <c r="Q274" i="2"/>
  <c r="R274" i="2" s="1"/>
  <c r="O274" i="2"/>
  <c r="N274" i="2"/>
  <c r="Q273" i="2"/>
  <c r="R273" i="2" s="1"/>
  <c r="O273" i="2"/>
  <c r="N273" i="2"/>
  <c r="Q272" i="2"/>
  <c r="R272" i="2" s="1"/>
  <c r="O272" i="2"/>
  <c r="N272" i="2"/>
  <c r="Q271" i="2"/>
  <c r="R271" i="2" s="1"/>
  <c r="O271" i="2"/>
  <c r="N271" i="2"/>
  <c r="Q270" i="2"/>
  <c r="R270" i="2" s="1"/>
  <c r="O270" i="2"/>
  <c r="N270" i="2"/>
  <c r="Q269" i="2"/>
  <c r="R269" i="2" s="1"/>
  <c r="O269" i="2"/>
  <c r="N269" i="2"/>
  <c r="Q268" i="2"/>
  <c r="R268" i="2" s="1"/>
  <c r="O268" i="2"/>
  <c r="N268" i="2"/>
  <c r="Q267" i="2"/>
  <c r="R267" i="2" s="1"/>
  <c r="O267" i="2"/>
  <c r="N267" i="2"/>
  <c r="Q266" i="2"/>
  <c r="R266" i="2" s="1"/>
  <c r="O266" i="2"/>
  <c r="N266" i="2"/>
  <c r="Q265" i="2"/>
  <c r="R265" i="2" s="1"/>
  <c r="O265" i="2"/>
  <c r="N265" i="2"/>
  <c r="Q264" i="2"/>
  <c r="R264" i="2" s="1"/>
  <c r="O264" i="2"/>
  <c r="N264" i="2"/>
  <c r="Q263" i="2"/>
  <c r="R263" i="2" s="1"/>
  <c r="O263" i="2"/>
  <c r="N263" i="2"/>
  <c r="Q262" i="2"/>
  <c r="R262" i="2" s="1"/>
  <c r="O262" i="2"/>
  <c r="N262" i="2"/>
  <c r="Q261" i="2"/>
  <c r="R261" i="2" s="1"/>
  <c r="O261" i="2"/>
  <c r="N261" i="2"/>
  <c r="Q260" i="2"/>
  <c r="R260" i="2" s="1"/>
  <c r="O260" i="2"/>
  <c r="N260" i="2"/>
  <c r="Q259" i="2"/>
  <c r="R259" i="2" s="1"/>
  <c r="O259" i="2"/>
  <c r="N259" i="2"/>
  <c r="Q258" i="2"/>
  <c r="R258" i="2" s="1"/>
  <c r="O258" i="2"/>
  <c r="N258" i="2"/>
  <c r="R257" i="2"/>
  <c r="Q257" i="2"/>
  <c r="O257" i="2"/>
  <c r="N257" i="2"/>
  <c r="Q256" i="2"/>
  <c r="R256" i="2" s="1"/>
  <c r="O256" i="2"/>
  <c r="N256" i="2"/>
  <c r="Q255" i="2"/>
  <c r="R255" i="2" s="1"/>
  <c r="O255" i="2"/>
  <c r="N255" i="2"/>
  <c r="Q254" i="2"/>
  <c r="R254" i="2" s="1"/>
  <c r="O254" i="2"/>
  <c r="N254" i="2"/>
  <c r="Q253" i="2"/>
  <c r="R253" i="2" s="1"/>
  <c r="O253" i="2"/>
  <c r="N253" i="2"/>
  <c r="Q252" i="2"/>
  <c r="R252" i="2" s="1"/>
  <c r="O252" i="2"/>
  <c r="N252" i="2"/>
  <c r="Q251" i="2"/>
  <c r="R251" i="2" s="1"/>
  <c r="O251" i="2"/>
  <c r="N251" i="2"/>
  <c r="Q250" i="2"/>
  <c r="R250" i="2" s="1"/>
  <c r="O250" i="2"/>
  <c r="N250" i="2"/>
  <c r="Q249" i="2"/>
  <c r="R249" i="2" s="1"/>
  <c r="O249" i="2"/>
  <c r="N249" i="2"/>
  <c r="Q248" i="2"/>
  <c r="R248" i="2" s="1"/>
  <c r="O248" i="2"/>
  <c r="N248" i="2"/>
  <c r="Q247" i="2"/>
  <c r="R247" i="2" s="1"/>
  <c r="O247" i="2"/>
  <c r="N247" i="2"/>
  <c r="Q246" i="2"/>
  <c r="R246" i="2" s="1"/>
  <c r="O246" i="2"/>
  <c r="N246" i="2"/>
  <c r="Q245" i="2"/>
  <c r="R245" i="2" s="1"/>
  <c r="O245" i="2"/>
  <c r="N245" i="2"/>
  <c r="Q244" i="2"/>
  <c r="R244" i="2" s="1"/>
  <c r="O244" i="2"/>
  <c r="N244" i="2"/>
  <c r="Q243" i="2"/>
  <c r="R243" i="2" s="1"/>
  <c r="O243" i="2"/>
  <c r="N243" i="2"/>
  <c r="Q242" i="2"/>
  <c r="R242" i="2" s="1"/>
  <c r="O242" i="2"/>
  <c r="N242" i="2"/>
  <c r="Q241" i="2"/>
  <c r="R241" i="2" s="1"/>
  <c r="O241" i="2"/>
  <c r="N241" i="2"/>
  <c r="Q240" i="2"/>
  <c r="R240" i="2" s="1"/>
  <c r="O240" i="2"/>
  <c r="N240" i="2"/>
  <c r="Q239" i="2"/>
  <c r="R239" i="2" s="1"/>
  <c r="O239" i="2"/>
  <c r="N239" i="2"/>
  <c r="Q238" i="2"/>
  <c r="R238" i="2" s="1"/>
  <c r="O238" i="2"/>
  <c r="N238" i="2"/>
  <c r="Q237" i="2"/>
  <c r="R237" i="2" s="1"/>
  <c r="O237" i="2"/>
  <c r="N237" i="2"/>
  <c r="Q236" i="2"/>
  <c r="R236" i="2" s="1"/>
  <c r="O236" i="2"/>
  <c r="N236" i="2"/>
  <c r="Q235" i="2"/>
  <c r="R235" i="2" s="1"/>
  <c r="O235" i="2"/>
  <c r="N235" i="2"/>
  <c r="Q234" i="2"/>
  <c r="R234" i="2" s="1"/>
  <c r="O234" i="2"/>
  <c r="N234" i="2"/>
  <c r="Q233" i="2"/>
  <c r="R233" i="2" s="1"/>
  <c r="O233" i="2"/>
  <c r="N233" i="2"/>
  <c r="Q232" i="2"/>
  <c r="R232" i="2" s="1"/>
  <c r="O232" i="2"/>
  <c r="N232" i="2"/>
  <c r="Q231" i="2"/>
  <c r="R231" i="2" s="1"/>
  <c r="O231" i="2"/>
  <c r="N231" i="2"/>
  <c r="Q230" i="2"/>
  <c r="R230" i="2" s="1"/>
  <c r="O230" i="2"/>
  <c r="N230" i="2"/>
  <c r="Q229" i="2"/>
  <c r="R229" i="2" s="1"/>
  <c r="O229" i="2"/>
  <c r="N229" i="2"/>
  <c r="Q228" i="2"/>
  <c r="R228" i="2" s="1"/>
  <c r="O228" i="2"/>
  <c r="N228" i="2"/>
  <c r="Q227" i="2"/>
  <c r="R227" i="2" s="1"/>
  <c r="O227" i="2"/>
  <c r="N227" i="2"/>
  <c r="Q226" i="2"/>
  <c r="R226" i="2" s="1"/>
  <c r="O226" i="2"/>
  <c r="N226" i="2"/>
  <c r="Q225" i="2"/>
  <c r="R225" i="2" s="1"/>
  <c r="O225" i="2"/>
  <c r="N225" i="2"/>
  <c r="Q224" i="2"/>
  <c r="R224" i="2" s="1"/>
  <c r="O224" i="2"/>
  <c r="N224" i="2"/>
  <c r="Q223" i="2"/>
  <c r="R223" i="2" s="1"/>
  <c r="O223" i="2"/>
  <c r="N223" i="2"/>
  <c r="Q222" i="2"/>
  <c r="R222" i="2" s="1"/>
  <c r="O222" i="2"/>
  <c r="N222" i="2"/>
  <c r="Q221" i="2"/>
  <c r="R221" i="2" s="1"/>
  <c r="O221" i="2"/>
  <c r="N221" i="2"/>
  <c r="Q220" i="2"/>
  <c r="R220" i="2" s="1"/>
  <c r="O220" i="2"/>
  <c r="N220" i="2"/>
  <c r="Q219" i="2"/>
  <c r="R219" i="2" s="1"/>
  <c r="O219" i="2"/>
  <c r="N219" i="2"/>
  <c r="Q218" i="2"/>
  <c r="R218" i="2" s="1"/>
  <c r="O218" i="2"/>
  <c r="N218" i="2"/>
  <c r="Q217" i="2"/>
  <c r="R217" i="2" s="1"/>
  <c r="O217" i="2"/>
  <c r="N217" i="2"/>
  <c r="Q216" i="2"/>
  <c r="R216" i="2" s="1"/>
  <c r="O216" i="2"/>
  <c r="N216" i="2"/>
  <c r="Q215" i="2"/>
  <c r="R215" i="2" s="1"/>
  <c r="O215" i="2"/>
  <c r="N215" i="2"/>
  <c r="Q214" i="2"/>
  <c r="R214" i="2" s="1"/>
  <c r="O214" i="2"/>
  <c r="N214" i="2"/>
  <c r="Q213" i="2"/>
  <c r="R213" i="2" s="1"/>
  <c r="O213" i="2"/>
  <c r="N213" i="2"/>
  <c r="Q212" i="2"/>
  <c r="R212" i="2" s="1"/>
  <c r="O212" i="2"/>
  <c r="N212" i="2"/>
  <c r="Q211" i="2"/>
  <c r="R211" i="2" s="1"/>
  <c r="O211" i="2"/>
  <c r="N211" i="2"/>
  <c r="Q210" i="2"/>
  <c r="R210" i="2" s="1"/>
  <c r="O210" i="2"/>
  <c r="N210" i="2"/>
  <c r="Q209" i="2"/>
  <c r="R209" i="2" s="1"/>
  <c r="O209" i="2"/>
  <c r="N209" i="2"/>
  <c r="Q208" i="2"/>
  <c r="R208" i="2" s="1"/>
  <c r="O208" i="2"/>
  <c r="N208" i="2"/>
  <c r="Q207" i="2"/>
  <c r="R207" i="2" s="1"/>
  <c r="O207" i="2"/>
  <c r="N207" i="2"/>
  <c r="Q206" i="2"/>
  <c r="R206" i="2" s="1"/>
  <c r="O206" i="2"/>
  <c r="N206" i="2"/>
  <c r="Q205" i="2"/>
  <c r="R205" i="2" s="1"/>
  <c r="O205" i="2"/>
  <c r="N205" i="2"/>
  <c r="Q204" i="2"/>
  <c r="R204" i="2" s="1"/>
  <c r="O204" i="2"/>
  <c r="N204" i="2"/>
  <c r="Q203" i="2"/>
  <c r="R203" i="2" s="1"/>
  <c r="O203" i="2"/>
  <c r="N203" i="2"/>
  <c r="Q202" i="2"/>
  <c r="R202" i="2" s="1"/>
  <c r="O202" i="2"/>
  <c r="N202" i="2"/>
  <c r="Q201" i="2"/>
  <c r="R201" i="2" s="1"/>
  <c r="O201" i="2"/>
  <c r="N201" i="2"/>
  <c r="Q200" i="2"/>
  <c r="R200" i="2" s="1"/>
  <c r="O200" i="2"/>
  <c r="N200" i="2"/>
  <c r="Q199" i="2"/>
  <c r="R199" i="2" s="1"/>
  <c r="O199" i="2"/>
  <c r="N199" i="2"/>
  <c r="Q198" i="2"/>
  <c r="R198" i="2" s="1"/>
  <c r="O198" i="2"/>
  <c r="N198" i="2"/>
  <c r="Q197" i="2"/>
  <c r="R197" i="2" s="1"/>
  <c r="O197" i="2"/>
  <c r="N197" i="2"/>
  <c r="Q196" i="2"/>
  <c r="R196" i="2" s="1"/>
  <c r="O196" i="2"/>
  <c r="N196" i="2"/>
  <c r="Q195" i="2"/>
  <c r="R195" i="2" s="1"/>
  <c r="O195" i="2"/>
  <c r="N195" i="2"/>
  <c r="Q194" i="2"/>
  <c r="R194" i="2" s="1"/>
  <c r="O194" i="2"/>
  <c r="N194" i="2"/>
  <c r="Q193" i="2"/>
  <c r="R193" i="2" s="1"/>
  <c r="O193" i="2"/>
  <c r="N193" i="2"/>
  <c r="Q192" i="2"/>
  <c r="R192" i="2" s="1"/>
  <c r="O192" i="2"/>
  <c r="N192" i="2"/>
  <c r="Q191" i="2"/>
  <c r="R191" i="2" s="1"/>
  <c r="O191" i="2"/>
  <c r="N191" i="2"/>
  <c r="Q190" i="2"/>
  <c r="R190" i="2" s="1"/>
  <c r="O190" i="2"/>
  <c r="N190" i="2"/>
  <c r="Q189" i="2"/>
  <c r="R189" i="2" s="1"/>
  <c r="O189" i="2"/>
  <c r="N189" i="2"/>
  <c r="Q188" i="2"/>
  <c r="R188" i="2" s="1"/>
  <c r="O188" i="2"/>
  <c r="N188" i="2"/>
  <c r="Q187" i="2"/>
  <c r="R187" i="2" s="1"/>
  <c r="O187" i="2"/>
  <c r="N187" i="2"/>
  <c r="Q186" i="2"/>
  <c r="R186" i="2" s="1"/>
  <c r="O186" i="2"/>
  <c r="N186" i="2"/>
  <c r="Q185" i="2"/>
  <c r="R185" i="2" s="1"/>
  <c r="O185" i="2"/>
  <c r="N185" i="2"/>
  <c r="Q184" i="2"/>
  <c r="R184" i="2" s="1"/>
  <c r="O184" i="2"/>
  <c r="N184" i="2"/>
  <c r="Q183" i="2"/>
  <c r="R183" i="2" s="1"/>
  <c r="O183" i="2"/>
  <c r="N183" i="2"/>
  <c r="Q182" i="2"/>
  <c r="R182" i="2" s="1"/>
  <c r="O182" i="2"/>
  <c r="N182" i="2"/>
  <c r="Q181" i="2"/>
  <c r="R181" i="2" s="1"/>
  <c r="O181" i="2"/>
  <c r="N181" i="2"/>
  <c r="Q180" i="2"/>
  <c r="R180" i="2" s="1"/>
  <c r="O180" i="2"/>
  <c r="N180" i="2"/>
  <c r="Q179" i="2"/>
  <c r="R179" i="2" s="1"/>
  <c r="O179" i="2"/>
  <c r="N179" i="2"/>
  <c r="Q178" i="2"/>
  <c r="R178" i="2" s="1"/>
  <c r="O178" i="2"/>
  <c r="N178" i="2"/>
  <c r="Q177" i="2"/>
  <c r="R177" i="2" s="1"/>
  <c r="O177" i="2"/>
  <c r="N177" i="2"/>
  <c r="Q176" i="2"/>
  <c r="R176" i="2" s="1"/>
  <c r="O176" i="2"/>
  <c r="N176" i="2"/>
  <c r="Q175" i="2"/>
  <c r="R175" i="2" s="1"/>
  <c r="O175" i="2"/>
  <c r="N175" i="2"/>
  <c r="Q174" i="2"/>
  <c r="R174" i="2" s="1"/>
  <c r="O174" i="2"/>
  <c r="N174" i="2"/>
  <c r="Q173" i="2"/>
  <c r="R173" i="2" s="1"/>
  <c r="O173" i="2"/>
  <c r="N173" i="2"/>
  <c r="Q172" i="2"/>
  <c r="R172" i="2" s="1"/>
  <c r="O172" i="2"/>
  <c r="N172" i="2"/>
  <c r="Q171" i="2"/>
  <c r="R171" i="2" s="1"/>
  <c r="O171" i="2"/>
  <c r="N171" i="2"/>
  <c r="Q170" i="2"/>
  <c r="R170" i="2" s="1"/>
  <c r="O170" i="2"/>
  <c r="N170" i="2"/>
  <c r="Q169" i="2"/>
  <c r="R169" i="2" s="1"/>
  <c r="O169" i="2"/>
  <c r="N169" i="2"/>
  <c r="Q168" i="2"/>
  <c r="R168" i="2" s="1"/>
  <c r="O168" i="2"/>
  <c r="N168" i="2"/>
  <c r="Q167" i="2"/>
  <c r="R167" i="2" s="1"/>
  <c r="O167" i="2"/>
  <c r="N167" i="2"/>
  <c r="Q166" i="2"/>
  <c r="R166" i="2" s="1"/>
  <c r="O166" i="2"/>
  <c r="N166" i="2"/>
  <c r="Q165" i="2"/>
  <c r="R165" i="2" s="1"/>
  <c r="O165" i="2"/>
  <c r="N165" i="2"/>
  <c r="Q164" i="2"/>
  <c r="R164" i="2" s="1"/>
  <c r="O164" i="2"/>
  <c r="N164" i="2"/>
  <c r="Q163" i="2"/>
  <c r="R163" i="2" s="1"/>
  <c r="O163" i="2"/>
  <c r="N163" i="2"/>
  <c r="Q162" i="2"/>
  <c r="R162" i="2" s="1"/>
  <c r="O162" i="2"/>
  <c r="N162" i="2"/>
  <c r="Q161" i="2"/>
  <c r="R161" i="2" s="1"/>
  <c r="O161" i="2"/>
  <c r="N161" i="2"/>
  <c r="Q160" i="2"/>
  <c r="R160" i="2" s="1"/>
  <c r="O160" i="2"/>
  <c r="N160" i="2"/>
  <c r="Q159" i="2"/>
  <c r="R159" i="2" s="1"/>
  <c r="O159" i="2"/>
  <c r="N159" i="2"/>
  <c r="Q158" i="2"/>
  <c r="R158" i="2" s="1"/>
  <c r="O158" i="2"/>
  <c r="N158" i="2"/>
  <c r="Q157" i="2"/>
  <c r="R157" i="2" s="1"/>
  <c r="O157" i="2"/>
  <c r="N157" i="2"/>
  <c r="Q156" i="2"/>
  <c r="R156" i="2" s="1"/>
  <c r="O156" i="2"/>
  <c r="N156" i="2"/>
  <c r="Q155" i="2"/>
  <c r="R155" i="2" s="1"/>
  <c r="O155" i="2"/>
  <c r="N155" i="2"/>
  <c r="Q154" i="2"/>
  <c r="R154" i="2" s="1"/>
  <c r="O154" i="2"/>
  <c r="N154" i="2"/>
  <c r="Q153" i="2"/>
  <c r="R153" i="2" s="1"/>
  <c r="O153" i="2"/>
  <c r="N153" i="2"/>
  <c r="Q152" i="2"/>
  <c r="R152" i="2" s="1"/>
  <c r="O152" i="2"/>
  <c r="N152" i="2"/>
  <c r="Q151" i="2"/>
  <c r="R151" i="2" s="1"/>
  <c r="O151" i="2"/>
  <c r="N151" i="2"/>
  <c r="Q150" i="2"/>
  <c r="R150" i="2" s="1"/>
  <c r="O150" i="2"/>
  <c r="N150" i="2"/>
  <c r="Q149" i="2"/>
  <c r="R149" i="2" s="1"/>
  <c r="O149" i="2"/>
  <c r="N149" i="2"/>
  <c r="Q148" i="2"/>
  <c r="R148" i="2" s="1"/>
  <c r="O148" i="2"/>
  <c r="N148" i="2"/>
  <c r="Q147" i="2"/>
  <c r="R147" i="2" s="1"/>
  <c r="O147" i="2"/>
  <c r="N147" i="2"/>
  <c r="Q146" i="2"/>
  <c r="R146" i="2" s="1"/>
  <c r="O146" i="2"/>
  <c r="N146" i="2"/>
  <c r="Q145" i="2"/>
  <c r="R145" i="2" s="1"/>
  <c r="O145" i="2"/>
  <c r="N145" i="2"/>
  <c r="Q144" i="2"/>
  <c r="R144" i="2" s="1"/>
  <c r="O144" i="2"/>
  <c r="N144" i="2"/>
  <c r="Q143" i="2"/>
  <c r="R143" i="2" s="1"/>
  <c r="O143" i="2"/>
  <c r="N143" i="2"/>
  <c r="Q142" i="2"/>
  <c r="R142" i="2" s="1"/>
  <c r="O142" i="2"/>
  <c r="N142" i="2"/>
  <c r="Q141" i="2"/>
  <c r="R141" i="2" s="1"/>
  <c r="O141" i="2"/>
  <c r="N141" i="2"/>
  <c r="Q140" i="2"/>
  <c r="R140" i="2" s="1"/>
  <c r="O140" i="2"/>
  <c r="N140" i="2"/>
  <c r="Q139" i="2"/>
  <c r="R139" i="2" s="1"/>
  <c r="O139" i="2"/>
  <c r="N139" i="2"/>
  <c r="Q138" i="2"/>
  <c r="R138" i="2" s="1"/>
  <c r="O138" i="2"/>
  <c r="N138" i="2"/>
  <c r="Q137" i="2"/>
  <c r="R137" i="2" s="1"/>
  <c r="O137" i="2"/>
  <c r="N137" i="2"/>
  <c r="Q136" i="2"/>
  <c r="R136" i="2" s="1"/>
  <c r="O136" i="2"/>
  <c r="N136" i="2"/>
  <c r="Q135" i="2"/>
  <c r="R135" i="2" s="1"/>
  <c r="O135" i="2"/>
  <c r="N135" i="2"/>
  <c r="Q134" i="2"/>
  <c r="R134" i="2" s="1"/>
  <c r="O134" i="2"/>
  <c r="N134" i="2"/>
  <c r="Q133" i="2"/>
  <c r="R133" i="2" s="1"/>
  <c r="O133" i="2"/>
  <c r="N133" i="2"/>
  <c r="Q132" i="2"/>
  <c r="R132" i="2" s="1"/>
  <c r="O132" i="2"/>
  <c r="N132" i="2"/>
  <c r="Q131" i="2"/>
  <c r="R131" i="2" s="1"/>
  <c r="O131" i="2"/>
  <c r="N131" i="2"/>
  <c r="Q130" i="2"/>
  <c r="R130" i="2" s="1"/>
  <c r="O130" i="2"/>
  <c r="N130" i="2"/>
  <c r="Q129" i="2"/>
  <c r="R129" i="2" s="1"/>
  <c r="O129" i="2"/>
  <c r="N129" i="2"/>
  <c r="Q128" i="2"/>
  <c r="R128" i="2" s="1"/>
  <c r="O128" i="2"/>
  <c r="N128" i="2"/>
  <c r="Q127" i="2"/>
  <c r="R127" i="2" s="1"/>
  <c r="O127" i="2"/>
  <c r="N127" i="2"/>
  <c r="Q126" i="2"/>
  <c r="R126" i="2" s="1"/>
  <c r="O126" i="2"/>
  <c r="N126" i="2"/>
  <c r="Q125" i="2"/>
  <c r="R125" i="2" s="1"/>
  <c r="O125" i="2"/>
  <c r="N125" i="2"/>
  <c r="Q124" i="2"/>
  <c r="R124" i="2" s="1"/>
  <c r="O124" i="2"/>
  <c r="N124" i="2"/>
  <c r="Q123" i="2"/>
  <c r="R123" i="2" s="1"/>
  <c r="O123" i="2"/>
  <c r="N123" i="2"/>
  <c r="Q122" i="2"/>
  <c r="R122" i="2" s="1"/>
  <c r="O122" i="2"/>
  <c r="N122" i="2"/>
  <c r="Q121" i="2"/>
  <c r="R121" i="2" s="1"/>
  <c r="O121" i="2"/>
  <c r="N121" i="2"/>
  <c r="Q120" i="2"/>
  <c r="R120" i="2" s="1"/>
  <c r="O120" i="2"/>
  <c r="N120" i="2"/>
  <c r="Q119" i="2"/>
  <c r="R119" i="2" s="1"/>
  <c r="O119" i="2"/>
  <c r="N119" i="2"/>
  <c r="Q118" i="2"/>
  <c r="R118" i="2" s="1"/>
  <c r="O118" i="2"/>
  <c r="N118" i="2"/>
  <c r="Q117" i="2"/>
  <c r="R117" i="2" s="1"/>
  <c r="O117" i="2"/>
  <c r="N117" i="2"/>
  <c r="Q116" i="2"/>
  <c r="R116" i="2" s="1"/>
  <c r="O116" i="2"/>
  <c r="N116" i="2"/>
  <c r="Q115" i="2"/>
  <c r="R115" i="2" s="1"/>
  <c r="O115" i="2"/>
  <c r="N115" i="2"/>
  <c r="Q114" i="2"/>
  <c r="R114" i="2" s="1"/>
  <c r="O114" i="2"/>
  <c r="N114" i="2"/>
  <c r="Q113" i="2"/>
  <c r="R113" i="2" s="1"/>
  <c r="O113" i="2"/>
  <c r="N113" i="2"/>
  <c r="Q112" i="2"/>
  <c r="R112" i="2" s="1"/>
  <c r="O112" i="2"/>
  <c r="N112" i="2"/>
  <c r="Q111" i="2"/>
  <c r="R111" i="2" s="1"/>
  <c r="O111" i="2"/>
  <c r="N111" i="2"/>
  <c r="Q110" i="2"/>
  <c r="R110" i="2" s="1"/>
  <c r="O110" i="2"/>
  <c r="N110" i="2"/>
  <c r="Q109" i="2"/>
  <c r="R109" i="2" s="1"/>
  <c r="O109" i="2"/>
  <c r="N109" i="2"/>
  <c r="Q108" i="2"/>
  <c r="R108" i="2" s="1"/>
  <c r="O108" i="2"/>
  <c r="N108" i="2"/>
  <c r="Q107" i="2"/>
  <c r="R107" i="2" s="1"/>
  <c r="O107" i="2"/>
  <c r="N107" i="2"/>
  <c r="Q106" i="2"/>
  <c r="R106" i="2" s="1"/>
  <c r="O106" i="2"/>
  <c r="N106" i="2"/>
  <c r="Q105" i="2"/>
  <c r="R105" i="2" s="1"/>
  <c r="O105" i="2"/>
  <c r="N105" i="2"/>
  <c r="Q104" i="2"/>
  <c r="R104" i="2" s="1"/>
  <c r="O104" i="2"/>
  <c r="N104" i="2"/>
  <c r="Q103" i="2"/>
  <c r="R103" i="2" s="1"/>
  <c r="O103" i="2"/>
  <c r="N103" i="2"/>
  <c r="Q102" i="2"/>
  <c r="R102" i="2" s="1"/>
  <c r="O102" i="2"/>
  <c r="N102" i="2"/>
  <c r="Q101" i="2"/>
  <c r="R101" i="2" s="1"/>
  <c r="O101" i="2"/>
  <c r="N101" i="2"/>
  <c r="Q100" i="2"/>
  <c r="R100" i="2" s="1"/>
  <c r="O100" i="2"/>
  <c r="N100" i="2"/>
  <c r="Q99" i="2"/>
  <c r="R99" i="2" s="1"/>
  <c r="O99" i="2"/>
  <c r="N99" i="2"/>
  <c r="Q98" i="2"/>
  <c r="R98" i="2" s="1"/>
  <c r="O98" i="2"/>
  <c r="N98" i="2"/>
  <c r="Q97" i="2"/>
  <c r="R97" i="2" s="1"/>
  <c r="O97" i="2"/>
  <c r="N97" i="2"/>
  <c r="Q96" i="2"/>
  <c r="R96" i="2" s="1"/>
  <c r="O96" i="2"/>
  <c r="N96" i="2"/>
  <c r="Q95" i="2"/>
  <c r="R95" i="2" s="1"/>
  <c r="O95" i="2"/>
  <c r="N95" i="2"/>
  <c r="Q94" i="2"/>
  <c r="R94" i="2" s="1"/>
  <c r="O94" i="2"/>
  <c r="N94" i="2"/>
  <c r="Q93" i="2"/>
  <c r="R93" i="2" s="1"/>
  <c r="O93" i="2"/>
  <c r="N93" i="2"/>
  <c r="Q92" i="2"/>
  <c r="R92" i="2" s="1"/>
  <c r="O92" i="2"/>
  <c r="N92" i="2"/>
  <c r="Q91" i="2"/>
  <c r="R91" i="2" s="1"/>
  <c r="O91" i="2"/>
  <c r="N91" i="2"/>
  <c r="Q90" i="2"/>
  <c r="R90" i="2" s="1"/>
  <c r="O90" i="2"/>
  <c r="N90" i="2"/>
  <c r="Q89" i="2"/>
  <c r="R89" i="2" s="1"/>
  <c r="O89" i="2"/>
  <c r="N89" i="2"/>
  <c r="Q88" i="2"/>
  <c r="R88" i="2" s="1"/>
  <c r="O88" i="2"/>
  <c r="N88" i="2"/>
  <c r="Q87" i="2"/>
  <c r="R87" i="2" s="1"/>
  <c r="O87" i="2"/>
  <c r="N87" i="2"/>
  <c r="Q86" i="2"/>
  <c r="R86" i="2" s="1"/>
  <c r="O86" i="2"/>
  <c r="N86" i="2"/>
  <c r="Q85" i="2"/>
  <c r="R85" i="2" s="1"/>
  <c r="O85" i="2"/>
  <c r="N85" i="2"/>
  <c r="Q84" i="2"/>
  <c r="R84" i="2" s="1"/>
  <c r="O84" i="2"/>
  <c r="N84" i="2"/>
  <c r="Q83" i="2"/>
  <c r="R83" i="2" s="1"/>
  <c r="O83" i="2"/>
  <c r="N83" i="2"/>
  <c r="Q82" i="2"/>
  <c r="R82" i="2" s="1"/>
  <c r="O82" i="2"/>
  <c r="N82" i="2"/>
  <c r="Q81" i="2"/>
  <c r="R81" i="2" s="1"/>
  <c r="O81" i="2"/>
  <c r="N81" i="2"/>
  <c r="Q80" i="2"/>
  <c r="R80" i="2" s="1"/>
  <c r="O80" i="2"/>
  <c r="N80" i="2"/>
  <c r="Q79" i="2"/>
  <c r="R79" i="2" s="1"/>
  <c r="O79" i="2"/>
  <c r="N79" i="2"/>
  <c r="Q78" i="2"/>
  <c r="R78" i="2" s="1"/>
  <c r="O78" i="2"/>
  <c r="N78" i="2"/>
  <c r="Q77" i="2"/>
  <c r="R77" i="2" s="1"/>
  <c r="O77" i="2"/>
  <c r="N77" i="2"/>
  <c r="Q76" i="2"/>
  <c r="R76" i="2" s="1"/>
  <c r="O76" i="2"/>
  <c r="N76" i="2"/>
  <c r="Q75" i="2"/>
  <c r="R75" i="2" s="1"/>
  <c r="O75" i="2"/>
  <c r="N75" i="2"/>
  <c r="Q74" i="2"/>
  <c r="R74" i="2" s="1"/>
  <c r="O74" i="2"/>
  <c r="N74" i="2"/>
  <c r="Q73" i="2"/>
  <c r="R73" i="2" s="1"/>
  <c r="O73" i="2"/>
  <c r="N73" i="2"/>
  <c r="Q72" i="2"/>
  <c r="R72" i="2" s="1"/>
  <c r="O72" i="2"/>
  <c r="N72" i="2"/>
  <c r="Q71" i="2"/>
  <c r="R71" i="2" s="1"/>
  <c r="O71" i="2"/>
  <c r="N71" i="2"/>
  <c r="Q70" i="2"/>
  <c r="R70" i="2" s="1"/>
  <c r="O70" i="2"/>
  <c r="N70" i="2"/>
  <c r="Q69" i="2"/>
  <c r="R69" i="2" s="1"/>
  <c r="O69" i="2"/>
  <c r="N69" i="2"/>
  <c r="Q68" i="2"/>
  <c r="R68" i="2" s="1"/>
  <c r="O68" i="2"/>
  <c r="N68" i="2"/>
  <c r="Q67" i="2"/>
  <c r="R67" i="2" s="1"/>
  <c r="O67" i="2"/>
  <c r="N67" i="2"/>
  <c r="Q66" i="2"/>
  <c r="R66" i="2" s="1"/>
  <c r="O66" i="2"/>
  <c r="N66" i="2"/>
  <c r="Q65" i="2"/>
  <c r="R65" i="2" s="1"/>
  <c r="O65" i="2"/>
  <c r="N65" i="2"/>
  <c r="Q64" i="2"/>
  <c r="R64" i="2" s="1"/>
  <c r="O64" i="2"/>
  <c r="N64" i="2"/>
  <c r="Q63" i="2"/>
  <c r="R63" i="2" s="1"/>
  <c r="O63" i="2"/>
  <c r="N63" i="2"/>
  <c r="Q62" i="2"/>
  <c r="R62" i="2" s="1"/>
  <c r="O62" i="2"/>
  <c r="N62" i="2"/>
  <c r="Q61" i="2"/>
  <c r="R61" i="2" s="1"/>
  <c r="O61" i="2"/>
  <c r="N61" i="2"/>
  <c r="Q60" i="2"/>
  <c r="R60" i="2" s="1"/>
  <c r="O60" i="2"/>
  <c r="N60" i="2"/>
  <c r="Q59" i="2"/>
  <c r="R59" i="2" s="1"/>
  <c r="O59" i="2"/>
  <c r="N59" i="2"/>
  <c r="Q58" i="2"/>
  <c r="R58" i="2" s="1"/>
  <c r="O58" i="2"/>
  <c r="N58" i="2"/>
  <c r="Q57" i="2"/>
  <c r="R57" i="2" s="1"/>
  <c r="O57" i="2"/>
  <c r="N57" i="2"/>
  <c r="Q56" i="2"/>
  <c r="R56" i="2" s="1"/>
  <c r="O56" i="2"/>
  <c r="N56" i="2"/>
  <c r="Q55" i="2"/>
  <c r="R55" i="2" s="1"/>
  <c r="O55" i="2"/>
  <c r="N55" i="2"/>
  <c r="Q54" i="2"/>
  <c r="R54" i="2" s="1"/>
  <c r="O54" i="2"/>
  <c r="N54" i="2"/>
  <c r="Q53" i="2"/>
  <c r="R53" i="2" s="1"/>
  <c r="O53" i="2"/>
  <c r="N53" i="2"/>
  <c r="Q52" i="2"/>
  <c r="R52" i="2" s="1"/>
  <c r="O52" i="2"/>
  <c r="N52" i="2"/>
  <c r="Q51" i="2"/>
  <c r="R51" i="2" s="1"/>
  <c r="O51" i="2"/>
  <c r="N51" i="2"/>
  <c r="Q50" i="2"/>
  <c r="R50" i="2" s="1"/>
  <c r="O50" i="2"/>
  <c r="N50" i="2"/>
  <c r="Q49" i="2"/>
  <c r="R49" i="2" s="1"/>
  <c r="O49" i="2"/>
  <c r="N49" i="2"/>
  <c r="Q48" i="2"/>
  <c r="R48" i="2" s="1"/>
  <c r="O48" i="2"/>
  <c r="N48" i="2"/>
  <c r="Q47" i="2"/>
  <c r="R47" i="2" s="1"/>
  <c r="O47" i="2"/>
  <c r="N47" i="2"/>
  <c r="Q46" i="2"/>
  <c r="R46" i="2" s="1"/>
  <c r="O46" i="2"/>
  <c r="N46" i="2"/>
  <c r="Q45" i="2"/>
  <c r="R45" i="2" s="1"/>
  <c r="O45" i="2"/>
  <c r="N45" i="2"/>
  <c r="Q44" i="2"/>
  <c r="R44" i="2" s="1"/>
  <c r="O44" i="2"/>
  <c r="N44" i="2"/>
  <c r="Q43" i="2"/>
  <c r="R43" i="2" s="1"/>
  <c r="O43" i="2"/>
  <c r="N43" i="2"/>
  <c r="Q42" i="2"/>
  <c r="R42" i="2" s="1"/>
  <c r="O42" i="2"/>
  <c r="N42" i="2"/>
  <c r="Q41" i="2"/>
  <c r="R41" i="2" s="1"/>
  <c r="O41" i="2"/>
  <c r="N41" i="2"/>
  <c r="Q40" i="2"/>
  <c r="R40" i="2" s="1"/>
  <c r="O40" i="2"/>
  <c r="N40" i="2"/>
  <c r="Q39" i="2"/>
  <c r="R39" i="2" s="1"/>
  <c r="O39" i="2"/>
  <c r="N39" i="2"/>
  <c r="Q38" i="2"/>
  <c r="R38" i="2" s="1"/>
  <c r="O38" i="2"/>
  <c r="N38" i="2"/>
  <c r="Q37" i="2"/>
  <c r="R37" i="2" s="1"/>
  <c r="O37" i="2"/>
  <c r="N37" i="2"/>
  <c r="Q36" i="2"/>
  <c r="R36" i="2" s="1"/>
  <c r="O36" i="2"/>
  <c r="N36" i="2"/>
  <c r="Q35" i="2"/>
  <c r="R35" i="2" s="1"/>
  <c r="O35" i="2"/>
  <c r="N35" i="2"/>
  <c r="Q34" i="2"/>
  <c r="R34" i="2" s="1"/>
  <c r="O34" i="2"/>
  <c r="N34" i="2"/>
  <c r="Q33" i="2"/>
  <c r="R33" i="2" s="1"/>
  <c r="O33" i="2"/>
  <c r="N33" i="2"/>
  <c r="Q32" i="2"/>
  <c r="R32" i="2" s="1"/>
  <c r="O32" i="2"/>
  <c r="N32" i="2"/>
  <c r="Q31" i="2"/>
  <c r="R31" i="2" s="1"/>
  <c r="O31" i="2"/>
  <c r="N31" i="2"/>
  <c r="Q30" i="2"/>
  <c r="R30" i="2" s="1"/>
  <c r="O30" i="2"/>
  <c r="N30" i="2"/>
  <c r="Q29" i="2"/>
  <c r="R29" i="2" s="1"/>
  <c r="O29" i="2"/>
  <c r="N29" i="2"/>
  <c r="Q28" i="2"/>
  <c r="R28" i="2" s="1"/>
  <c r="O28" i="2"/>
  <c r="N28" i="2"/>
  <c r="Q27" i="2"/>
  <c r="R27" i="2" s="1"/>
  <c r="O27" i="2"/>
  <c r="N27" i="2"/>
  <c r="Q26" i="2"/>
  <c r="R26" i="2" s="1"/>
  <c r="O26" i="2"/>
  <c r="N26" i="2"/>
  <c r="Q25" i="2"/>
  <c r="R25" i="2" s="1"/>
  <c r="O25" i="2"/>
  <c r="N25" i="2"/>
  <c r="Q24" i="2"/>
  <c r="R24" i="2" s="1"/>
  <c r="O24" i="2"/>
  <c r="N24" i="2"/>
  <c r="Q23" i="2"/>
  <c r="R23" i="2" s="1"/>
  <c r="O23" i="2"/>
  <c r="N23" i="2"/>
  <c r="Q22" i="2"/>
  <c r="R22" i="2" s="1"/>
  <c r="O22" i="2"/>
  <c r="N22" i="2"/>
  <c r="Q21" i="2"/>
  <c r="R21" i="2" s="1"/>
  <c r="O21" i="2"/>
  <c r="N21" i="2"/>
  <c r="Q20" i="2"/>
  <c r="R20" i="2" s="1"/>
  <c r="O20" i="2"/>
  <c r="N20" i="2"/>
  <c r="Q19" i="2"/>
  <c r="R19" i="2" s="1"/>
  <c r="O19" i="2"/>
  <c r="N19" i="2"/>
  <c r="Q18" i="2"/>
  <c r="R18" i="2" s="1"/>
  <c r="O18" i="2"/>
  <c r="N18" i="2"/>
  <c r="Q17" i="2"/>
  <c r="R17" i="2" s="1"/>
  <c r="O17" i="2"/>
  <c r="N17" i="2"/>
  <c r="Q16" i="2"/>
  <c r="R16" i="2" s="1"/>
  <c r="O16" i="2"/>
  <c r="N16" i="2"/>
  <c r="Q15" i="2"/>
  <c r="R15" i="2" s="1"/>
  <c r="O15" i="2"/>
  <c r="N15" i="2"/>
  <c r="Q14" i="2"/>
  <c r="R14" i="2" s="1"/>
  <c r="O14" i="2"/>
  <c r="N14" i="2"/>
  <c r="Q13" i="2"/>
  <c r="R13" i="2" s="1"/>
  <c r="O13" i="2"/>
  <c r="N13" i="2"/>
  <c r="Q12" i="2"/>
  <c r="R12" i="2" s="1"/>
  <c r="P8" i="2" s="1"/>
  <c r="O12" i="2"/>
  <c r="N12" i="2"/>
  <c r="H8" i="2"/>
  <c r="G8" i="2"/>
  <c r="F8" i="2"/>
  <c r="E8" i="2"/>
  <c r="D8" i="2"/>
  <c r="B8" i="2"/>
  <c r="H6" i="2"/>
  <c r="G6" i="2"/>
  <c r="F6" i="2"/>
  <c r="E6" i="2"/>
  <c r="D6" i="2"/>
  <c r="B6" i="2"/>
  <c r="N3" i="2"/>
  <c r="R307" i="1"/>
  <c r="Q307" i="1"/>
  <c r="P307" i="1"/>
  <c r="O307" i="1"/>
  <c r="R306" i="1"/>
  <c r="Q306" i="1"/>
  <c r="S306" i="1" s="1"/>
  <c r="P306" i="1"/>
  <c r="O306" i="1"/>
  <c r="R305" i="1"/>
  <c r="Q305" i="1"/>
  <c r="S305" i="1" s="1"/>
  <c r="P305" i="1"/>
  <c r="O305" i="1"/>
  <c r="R304" i="1"/>
  <c r="Q304" i="1"/>
  <c r="S304" i="1" s="1"/>
  <c r="P304" i="1"/>
  <c r="O304" i="1"/>
  <c r="R303" i="1"/>
  <c r="Q303" i="1"/>
  <c r="P303" i="1"/>
  <c r="O303" i="1"/>
  <c r="R302" i="1"/>
  <c r="Q302" i="1"/>
  <c r="S302" i="1" s="1"/>
  <c r="P302" i="1"/>
  <c r="O302" i="1"/>
  <c r="R301" i="1"/>
  <c r="Q301" i="1"/>
  <c r="S301" i="1" s="1"/>
  <c r="P301" i="1"/>
  <c r="O301" i="1"/>
  <c r="R300" i="1"/>
  <c r="Q300" i="1"/>
  <c r="S300" i="1" s="1"/>
  <c r="P300" i="1"/>
  <c r="O300" i="1"/>
  <c r="R299" i="1"/>
  <c r="Q299" i="1"/>
  <c r="P299" i="1"/>
  <c r="O299" i="1"/>
  <c r="R298" i="1"/>
  <c r="Q298" i="1"/>
  <c r="P298" i="1"/>
  <c r="O298" i="1"/>
  <c r="R297" i="1"/>
  <c r="Q297" i="1"/>
  <c r="P297" i="1"/>
  <c r="O297" i="1"/>
  <c r="R296" i="1"/>
  <c r="Q296" i="1"/>
  <c r="S296" i="1" s="1"/>
  <c r="P296" i="1"/>
  <c r="O296" i="1"/>
  <c r="R295" i="1"/>
  <c r="Q295" i="1"/>
  <c r="S295" i="1" s="1"/>
  <c r="P295" i="1"/>
  <c r="O295" i="1"/>
  <c r="R294" i="1"/>
  <c r="Q294" i="1"/>
  <c r="S294" i="1" s="1"/>
  <c r="P294" i="1"/>
  <c r="O294" i="1"/>
  <c r="R293" i="1"/>
  <c r="Q293" i="1"/>
  <c r="P293" i="1"/>
  <c r="O293" i="1"/>
  <c r="R292" i="1"/>
  <c r="Q292" i="1"/>
  <c r="S292" i="1" s="1"/>
  <c r="P292" i="1"/>
  <c r="O292" i="1"/>
  <c r="R291" i="1"/>
  <c r="Q291" i="1"/>
  <c r="P291" i="1"/>
  <c r="O291" i="1"/>
  <c r="R290" i="1"/>
  <c r="Q290" i="1"/>
  <c r="S290" i="1" s="1"/>
  <c r="P290" i="1"/>
  <c r="O290" i="1"/>
  <c r="R289" i="1"/>
  <c r="Q289" i="1"/>
  <c r="S289" i="1" s="1"/>
  <c r="P289" i="1"/>
  <c r="O289" i="1"/>
  <c r="R288" i="1"/>
  <c r="Q288" i="1"/>
  <c r="S288" i="1" s="1"/>
  <c r="P288" i="1"/>
  <c r="O288" i="1"/>
  <c r="R287" i="1"/>
  <c r="Q287" i="1"/>
  <c r="S287" i="1" s="1"/>
  <c r="P287" i="1"/>
  <c r="O287" i="1"/>
  <c r="R286" i="1"/>
  <c r="Q286" i="1"/>
  <c r="S286" i="1" s="1"/>
  <c r="P286" i="1"/>
  <c r="O286" i="1"/>
  <c r="R285" i="1"/>
  <c r="Q285" i="1"/>
  <c r="P285" i="1"/>
  <c r="O285" i="1"/>
  <c r="R284" i="1"/>
  <c r="Q284" i="1"/>
  <c r="S284" i="1" s="1"/>
  <c r="P284" i="1"/>
  <c r="O284" i="1"/>
  <c r="R283" i="1"/>
  <c r="Q283" i="1"/>
  <c r="S283" i="1" s="1"/>
  <c r="P283" i="1"/>
  <c r="O283" i="1"/>
  <c r="R282" i="1"/>
  <c r="Q282" i="1"/>
  <c r="P282" i="1"/>
  <c r="O282" i="1"/>
  <c r="R281" i="1"/>
  <c r="Q281" i="1"/>
  <c r="S281" i="1" s="1"/>
  <c r="P281" i="1"/>
  <c r="O281" i="1"/>
  <c r="R280" i="1"/>
  <c r="Q280" i="1"/>
  <c r="P280" i="1"/>
  <c r="O280" i="1"/>
  <c r="R279" i="1"/>
  <c r="Q279" i="1"/>
  <c r="P279" i="1"/>
  <c r="O279" i="1"/>
  <c r="R278" i="1"/>
  <c r="Q278" i="1"/>
  <c r="S278" i="1" s="1"/>
  <c r="P278" i="1"/>
  <c r="O278" i="1"/>
  <c r="R277" i="1"/>
  <c r="Q277" i="1"/>
  <c r="P277" i="1"/>
  <c r="O277" i="1"/>
  <c r="R276" i="1"/>
  <c r="Q276" i="1"/>
  <c r="S276" i="1" s="1"/>
  <c r="P276" i="1"/>
  <c r="O276" i="1"/>
  <c r="R275" i="1"/>
  <c r="Q275" i="1"/>
  <c r="S275" i="1" s="1"/>
  <c r="P275" i="1"/>
  <c r="O275" i="1"/>
  <c r="R274" i="1"/>
  <c r="Q274" i="1"/>
  <c r="S274" i="1" s="1"/>
  <c r="P274" i="1"/>
  <c r="O274" i="1"/>
  <c r="R273" i="1"/>
  <c r="Q273" i="1"/>
  <c r="S273" i="1" s="1"/>
  <c r="P273" i="1"/>
  <c r="O273" i="1"/>
  <c r="R272" i="1"/>
  <c r="Q272" i="1"/>
  <c r="S272" i="1" s="1"/>
  <c r="P272" i="1"/>
  <c r="O272" i="1"/>
  <c r="R271" i="1"/>
  <c r="Q271" i="1"/>
  <c r="S271" i="1" s="1"/>
  <c r="P271" i="1"/>
  <c r="O271" i="1"/>
  <c r="R270" i="1"/>
  <c r="Q270" i="1"/>
  <c r="S270" i="1" s="1"/>
  <c r="P270" i="1"/>
  <c r="O270" i="1"/>
  <c r="R269" i="1"/>
  <c r="Q269" i="1"/>
  <c r="S269" i="1" s="1"/>
  <c r="P269" i="1"/>
  <c r="O269" i="1"/>
  <c r="R268" i="1"/>
  <c r="Q268" i="1"/>
  <c r="P268" i="1"/>
  <c r="O268" i="1"/>
  <c r="R267" i="1"/>
  <c r="Q267" i="1"/>
  <c r="S267" i="1" s="1"/>
  <c r="P267" i="1"/>
  <c r="O267" i="1"/>
  <c r="R266" i="1"/>
  <c r="Q266" i="1"/>
  <c r="S266" i="1" s="1"/>
  <c r="P266" i="1"/>
  <c r="O266" i="1"/>
  <c r="R265" i="1"/>
  <c r="Q265" i="1"/>
  <c r="S265" i="1" s="1"/>
  <c r="P265" i="1"/>
  <c r="O265" i="1"/>
  <c r="R264" i="1"/>
  <c r="Q264" i="1"/>
  <c r="P264" i="1"/>
  <c r="O264" i="1"/>
  <c r="R263" i="1"/>
  <c r="Q263" i="1"/>
  <c r="S263" i="1" s="1"/>
  <c r="P263" i="1"/>
  <c r="O263" i="1"/>
  <c r="R262" i="1"/>
  <c r="Q262" i="1"/>
  <c r="S262" i="1" s="1"/>
  <c r="P262" i="1"/>
  <c r="O262" i="1"/>
  <c r="R261" i="1"/>
  <c r="Q261" i="1"/>
  <c r="S261" i="1" s="1"/>
  <c r="P261" i="1"/>
  <c r="O261" i="1"/>
  <c r="R260" i="1"/>
  <c r="Q260" i="1"/>
  <c r="S260" i="1" s="1"/>
  <c r="P260" i="1"/>
  <c r="O260" i="1"/>
  <c r="R259" i="1"/>
  <c r="Q259" i="1"/>
  <c r="S259" i="1" s="1"/>
  <c r="P259" i="1"/>
  <c r="O259" i="1"/>
  <c r="R258" i="1"/>
  <c r="Q258" i="1"/>
  <c r="S258" i="1" s="1"/>
  <c r="P258" i="1"/>
  <c r="O258" i="1"/>
  <c r="R257" i="1"/>
  <c r="Q257" i="1"/>
  <c r="S257" i="1" s="1"/>
  <c r="P257" i="1"/>
  <c r="O257" i="1"/>
  <c r="R256" i="1"/>
  <c r="Q256" i="1"/>
  <c r="P256" i="1"/>
  <c r="O256" i="1"/>
  <c r="R255" i="1"/>
  <c r="Q255" i="1"/>
  <c r="S255" i="1" s="1"/>
  <c r="P255" i="1"/>
  <c r="O255" i="1"/>
  <c r="R254" i="1"/>
  <c r="Q254" i="1"/>
  <c r="P254" i="1"/>
  <c r="O254" i="1"/>
  <c r="R253" i="1"/>
  <c r="Q253" i="1"/>
  <c r="S253" i="1" s="1"/>
  <c r="P253" i="1"/>
  <c r="O253" i="1"/>
  <c r="R252" i="1"/>
  <c r="Q252" i="1"/>
  <c r="P252" i="1"/>
  <c r="O252" i="1"/>
  <c r="R251" i="1"/>
  <c r="Q251" i="1"/>
  <c r="S251" i="1" s="1"/>
  <c r="P251" i="1"/>
  <c r="O251" i="1"/>
  <c r="R250" i="1"/>
  <c r="Q250" i="1"/>
  <c r="S250" i="1" s="1"/>
  <c r="P250" i="1"/>
  <c r="O250" i="1"/>
  <c r="R249" i="1"/>
  <c r="Q249" i="1"/>
  <c r="S249" i="1" s="1"/>
  <c r="P249" i="1"/>
  <c r="O249" i="1"/>
  <c r="R248" i="1"/>
  <c r="Q248" i="1"/>
  <c r="S248" i="1" s="1"/>
  <c r="P248" i="1"/>
  <c r="O248" i="1"/>
  <c r="R247" i="1"/>
  <c r="Q247" i="1"/>
  <c r="S247" i="1" s="1"/>
  <c r="P247" i="1"/>
  <c r="O247" i="1"/>
  <c r="R246" i="1"/>
  <c r="Q246" i="1"/>
  <c r="S246" i="1" s="1"/>
  <c r="P246" i="1"/>
  <c r="O246" i="1"/>
  <c r="R245" i="1"/>
  <c r="Q245" i="1"/>
  <c r="S245" i="1" s="1"/>
  <c r="P245" i="1"/>
  <c r="O245" i="1"/>
  <c r="R244" i="1"/>
  <c r="Q244" i="1"/>
  <c r="S244" i="1" s="1"/>
  <c r="P244" i="1"/>
  <c r="O244" i="1"/>
  <c r="R243" i="1"/>
  <c r="Q243" i="1"/>
  <c r="S243" i="1" s="1"/>
  <c r="P243" i="1"/>
  <c r="O243" i="1"/>
  <c r="R242" i="1"/>
  <c r="Q242" i="1"/>
  <c r="S242" i="1" s="1"/>
  <c r="P242" i="1"/>
  <c r="O242" i="1"/>
  <c r="R241" i="1"/>
  <c r="Q241" i="1"/>
  <c r="S241" i="1" s="1"/>
  <c r="P241" i="1"/>
  <c r="O241" i="1"/>
  <c r="R240" i="1"/>
  <c r="Q240" i="1"/>
  <c r="P240" i="1"/>
  <c r="O240" i="1"/>
  <c r="R239" i="1"/>
  <c r="Q239" i="1"/>
  <c r="S239" i="1" s="1"/>
  <c r="P239" i="1"/>
  <c r="O239" i="1"/>
  <c r="R238" i="1"/>
  <c r="Q238" i="1"/>
  <c r="S238" i="1" s="1"/>
  <c r="P238" i="1"/>
  <c r="O238" i="1"/>
  <c r="R237" i="1"/>
  <c r="Q237" i="1"/>
  <c r="S237" i="1" s="1"/>
  <c r="P237" i="1"/>
  <c r="O237" i="1"/>
  <c r="R236" i="1"/>
  <c r="Q236" i="1"/>
  <c r="S236" i="1" s="1"/>
  <c r="P236" i="1"/>
  <c r="O236" i="1"/>
  <c r="R235" i="1"/>
  <c r="Q235" i="1"/>
  <c r="P235" i="1"/>
  <c r="O235" i="1"/>
  <c r="R234" i="1"/>
  <c r="Q234" i="1"/>
  <c r="S234" i="1" s="1"/>
  <c r="P234" i="1"/>
  <c r="O234" i="1"/>
  <c r="R233" i="1"/>
  <c r="Q233" i="1"/>
  <c r="S233" i="1" s="1"/>
  <c r="P233" i="1"/>
  <c r="O233" i="1"/>
  <c r="R232" i="1"/>
  <c r="Q232" i="1"/>
  <c r="S232" i="1" s="1"/>
  <c r="P232" i="1"/>
  <c r="O232" i="1"/>
  <c r="R231" i="1"/>
  <c r="Q231" i="1"/>
  <c r="S231" i="1" s="1"/>
  <c r="P231" i="1"/>
  <c r="O231" i="1"/>
  <c r="R230" i="1"/>
  <c r="Q230" i="1"/>
  <c r="S230" i="1" s="1"/>
  <c r="P230" i="1"/>
  <c r="O230" i="1"/>
  <c r="R229" i="1"/>
  <c r="Q229" i="1"/>
  <c r="S229" i="1" s="1"/>
  <c r="P229" i="1"/>
  <c r="O229" i="1"/>
  <c r="R228" i="1"/>
  <c r="Q228" i="1"/>
  <c r="S228" i="1" s="1"/>
  <c r="P228" i="1"/>
  <c r="O228" i="1"/>
  <c r="R227" i="1"/>
  <c r="Q227" i="1"/>
  <c r="S227" i="1" s="1"/>
  <c r="P227" i="1"/>
  <c r="O227" i="1"/>
  <c r="R226" i="1"/>
  <c r="Q226" i="1"/>
  <c r="S226" i="1" s="1"/>
  <c r="P226" i="1"/>
  <c r="O226" i="1"/>
  <c r="R225" i="1"/>
  <c r="Q225" i="1"/>
  <c r="S225" i="1" s="1"/>
  <c r="P225" i="1"/>
  <c r="O225" i="1"/>
  <c r="R224" i="1"/>
  <c r="Q224" i="1"/>
  <c r="S224" i="1" s="1"/>
  <c r="P224" i="1"/>
  <c r="O224" i="1"/>
  <c r="R223" i="1"/>
  <c r="Q223" i="1"/>
  <c r="S223" i="1" s="1"/>
  <c r="P223" i="1"/>
  <c r="O223" i="1"/>
  <c r="R222" i="1"/>
  <c r="Q222" i="1"/>
  <c r="S222" i="1" s="1"/>
  <c r="P222" i="1"/>
  <c r="O222" i="1"/>
  <c r="R221" i="1"/>
  <c r="Q221" i="1"/>
  <c r="S221" i="1" s="1"/>
  <c r="P221" i="1"/>
  <c r="O221" i="1"/>
  <c r="R220" i="1"/>
  <c r="Q220" i="1"/>
  <c r="S220" i="1" s="1"/>
  <c r="P220" i="1"/>
  <c r="O220" i="1"/>
  <c r="R219" i="1"/>
  <c r="Q219" i="1"/>
  <c r="P219" i="1"/>
  <c r="O219" i="1"/>
  <c r="R218" i="1"/>
  <c r="Q218" i="1"/>
  <c r="P218" i="1"/>
  <c r="O218" i="1"/>
  <c r="R217" i="1"/>
  <c r="Q217" i="1"/>
  <c r="P217" i="1"/>
  <c r="O217" i="1"/>
  <c r="R216" i="1"/>
  <c r="Q216" i="1"/>
  <c r="P216" i="1"/>
  <c r="O216" i="1"/>
  <c r="R215" i="1"/>
  <c r="Q215" i="1"/>
  <c r="P215" i="1"/>
  <c r="O215" i="1"/>
  <c r="R214" i="1"/>
  <c r="Q214" i="1"/>
  <c r="P214" i="1"/>
  <c r="O214" i="1"/>
  <c r="R213" i="1"/>
  <c r="Q213" i="1"/>
  <c r="P213" i="1"/>
  <c r="O213" i="1"/>
  <c r="R212" i="1"/>
  <c r="Q212" i="1"/>
  <c r="P212" i="1"/>
  <c r="O212" i="1"/>
  <c r="R211" i="1"/>
  <c r="Q211" i="1"/>
  <c r="P211" i="1"/>
  <c r="O211" i="1"/>
  <c r="R210" i="1"/>
  <c r="Q210" i="1"/>
  <c r="S210" i="1" s="1"/>
  <c r="P210" i="1"/>
  <c r="O210" i="1"/>
  <c r="R209" i="1"/>
  <c r="Q209" i="1"/>
  <c r="S209" i="1" s="1"/>
  <c r="P209" i="1"/>
  <c r="O209" i="1"/>
  <c r="R208" i="1"/>
  <c r="Q208" i="1"/>
  <c r="S208" i="1" s="1"/>
  <c r="P208" i="1"/>
  <c r="O208" i="1"/>
  <c r="R207" i="1"/>
  <c r="Q207" i="1"/>
  <c r="S207" i="1" s="1"/>
  <c r="P207" i="1"/>
  <c r="O207" i="1"/>
  <c r="R206" i="1"/>
  <c r="Q206" i="1"/>
  <c r="S206" i="1" s="1"/>
  <c r="P206" i="1"/>
  <c r="O206" i="1"/>
  <c r="R205" i="1"/>
  <c r="Q205" i="1"/>
  <c r="S205" i="1" s="1"/>
  <c r="P205" i="1"/>
  <c r="O205" i="1"/>
  <c r="R204" i="1"/>
  <c r="Q204" i="1"/>
  <c r="S204" i="1" s="1"/>
  <c r="P204" i="1"/>
  <c r="O204" i="1"/>
  <c r="R203" i="1"/>
  <c r="Q203" i="1"/>
  <c r="P203" i="1"/>
  <c r="O203" i="1"/>
  <c r="R202" i="1"/>
  <c r="Q202" i="1"/>
  <c r="S202" i="1" s="1"/>
  <c r="P202" i="1"/>
  <c r="O202" i="1"/>
  <c r="R201" i="1"/>
  <c r="Q201" i="1"/>
  <c r="S201" i="1" s="1"/>
  <c r="P201" i="1"/>
  <c r="O201" i="1"/>
  <c r="R200" i="1"/>
  <c r="Q200" i="1"/>
  <c r="S200" i="1" s="1"/>
  <c r="P200" i="1"/>
  <c r="O200" i="1"/>
  <c r="R199" i="1"/>
  <c r="Q199" i="1"/>
  <c r="S199" i="1" s="1"/>
  <c r="P199" i="1"/>
  <c r="O199" i="1"/>
  <c r="R198" i="1"/>
  <c r="Q198" i="1"/>
  <c r="S198" i="1" s="1"/>
  <c r="P198" i="1"/>
  <c r="O198" i="1"/>
  <c r="R197" i="1"/>
  <c r="Q197" i="1"/>
  <c r="S197" i="1" s="1"/>
  <c r="P197" i="1"/>
  <c r="O197" i="1"/>
  <c r="R196" i="1"/>
  <c r="Q196" i="1"/>
  <c r="P196" i="1"/>
  <c r="O196" i="1"/>
  <c r="R195" i="1"/>
  <c r="Q195" i="1"/>
  <c r="P195" i="1"/>
  <c r="O195" i="1"/>
  <c r="R194" i="1"/>
  <c r="Q194" i="1"/>
  <c r="S194" i="1" s="1"/>
  <c r="P194" i="1"/>
  <c r="O194" i="1"/>
  <c r="R193" i="1"/>
  <c r="Q193" i="1"/>
  <c r="S193" i="1" s="1"/>
  <c r="P193" i="1"/>
  <c r="O193" i="1"/>
  <c r="R192" i="1"/>
  <c r="Q192" i="1"/>
  <c r="S192" i="1" s="1"/>
  <c r="P192" i="1"/>
  <c r="O192" i="1"/>
  <c r="R191" i="1"/>
  <c r="Q191" i="1"/>
  <c r="S191" i="1" s="1"/>
  <c r="P191" i="1"/>
  <c r="O191" i="1"/>
  <c r="R190" i="1"/>
  <c r="Q190" i="1"/>
  <c r="S190" i="1" s="1"/>
  <c r="P190" i="1"/>
  <c r="O190" i="1"/>
  <c r="R189" i="1"/>
  <c r="Q189" i="1"/>
  <c r="S189" i="1" s="1"/>
  <c r="P189" i="1"/>
  <c r="O189" i="1"/>
  <c r="R188" i="1"/>
  <c r="Q188" i="1"/>
  <c r="S188" i="1" s="1"/>
  <c r="P188" i="1"/>
  <c r="O188" i="1"/>
  <c r="R187" i="1"/>
  <c r="Q187" i="1"/>
  <c r="S187" i="1" s="1"/>
  <c r="P187" i="1"/>
  <c r="O187" i="1"/>
  <c r="R186" i="1"/>
  <c r="Q186" i="1"/>
  <c r="S186" i="1" s="1"/>
  <c r="P186" i="1"/>
  <c r="O186" i="1"/>
  <c r="R185" i="1"/>
  <c r="Q185" i="1"/>
  <c r="S185" i="1" s="1"/>
  <c r="P185" i="1"/>
  <c r="O185" i="1"/>
  <c r="R184" i="1"/>
  <c r="Q184" i="1"/>
  <c r="S184" i="1" s="1"/>
  <c r="P184" i="1"/>
  <c r="O184" i="1"/>
  <c r="R183" i="1"/>
  <c r="Q183" i="1"/>
  <c r="S183" i="1" s="1"/>
  <c r="P183" i="1"/>
  <c r="O183" i="1"/>
  <c r="R182" i="1"/>
  <c r="Q182" i="1"/>
  <c r="P182" i="1"/>
  <c r="O182" i="1"/>
  <c r="R181" i="1"/>
  <c r="Q181" i="1"/>
  <c r="P181" i="1"/>
  <c r="O181" i="1"/>
  <c r="R180" i="1"/>
  <c r="Q180" i="1"/>
  <c r="P180" i="1"/>
  <c r="O180" i="1"/>
  <c r="R179" i="1"/>
  <c r="Q179" i="1"/>
  <c r="P179" i="1"/>
  <c r="O179" i="1"/>
  <c r="R178" i="1"/>
  <c r="Q178" i="1"/>
  <c r="P178" i="1"/>
  <c r="O178" i="1"/>
  <c r="R177" i="1"/>
  <c r="Q177" i="1"/>
  <c r="P177" i="1"/>
  <c r="O177" i="1"/>
  <c r="R176" i="1"/>
  <c r="Q176" i="1"/>
  <c r="P176" i="1"/>
  <c r="O176" i="1"/>
  <c r="R175" i="1"/>
  <c r="Q175" i="1"/>
  <c r="P175" i="1"/>
  <c r="O175" i="1"/>
  <c r="R174" i="1"/>
  <c r="Q174" i="1"/>
  <c r="S174" i="1" s="1"/>
  <c r="P174" i="1"/>
  <c r="O174" i="1"/>
  <c r="R173" i="1"/>
  <c r="Q173" i="1"/>
  <c r="S173" i="1" s="1"/>
  <c r="P173" i="1"/>
  <c r="O173" i="1"/>
  <c r="R172" i="1"/>
  <c r="Q172" i="1"/>
  <c r="S172" i="1" s="1"/>
  <c r="P172" i="1"/>
  <c r="O172" i="1"/>
  <c r="R171" i="1"/>
  <c r="Q171" i="1"/>
  <c r="S171" i="1" s="1"/>
  <c r="P171" i="1"/>
  <c r="O171" i="1"/>
  <c r="R170" i="1"/>
  <c r="Q170" i="1"/>
  <c r="S170" i="1" s="1"/>
  <c r="P170" i="1"/>
  <c r="O170" i="1"/>
  <c r="R169" i="1"/>
  <c r="Q169" i="1"/>
  <c r="S169" i="1" s="1"/>
  <c r="P169" i="1"/>
  <c r="O169" i="1"/>
  <c r="R168" i="1"/>
  <c r="Q168" i="1"/>
  <c r="S168" i="1" s="1"/>
  <c r="P168" i="1"/>
  <c r="O168" i="1"/>
  <c r="R167" i="1"/>
  <c r="Q167" i="1"/>
  <c r="S167" i="1" s="1"/>
  <c r="P167" i="1"/>
  <c r="O167" i="1"/>
  <c r="R166" i="1"/>
  <c r="Q166" i="1"/>
  <c r="S166" i="1" s="1"/>
  <c r="P166" i="1"/>
  <c r="O166" i="1"/>
  <c r="R165" i="1"/>
  <c r="Q165" i="1"/>
  <c r="S165" i="1" s="1"/>
  <c r="P165" i="1"/>
  <c r="O165" i="1"/>
  <c r="R164" i="1"/>
  <c r="Q164" i="1"/>
  <c r="S164" i="1" s="1"/>
  <c r="P164" i="1"/>
  <c r="O164" i="1"/>
  <c r="R163" i="1"/>
  <c r="Q163" i="1"/>
  <c r="S163" i="1" s="1"/>
  <c r="P163" i="1"/>
  <c r="O163" i="1"/>
  <c r="R162" i="1"/>
  <c r="Q162" i="1"/>
  <c r="S162" i="1" s="1"/>
  <c r="P162" i="1"/>
  <c r="O162" i="1"/>
  <c r="R161" i="1"/>
  <c r="Q161" i="1"/>
  <c r="S161" i="1" s="1"/>
  <c r="P161" i="1"/>
  <c r="O161" i="1"/>
  <c r="R160" i="1"/>
  <c r="Q160" i="1"/>
  <c r="S160" i="1" s="1"/>
  <c r="P160" i="1"/>
  <c r="O160" i="1"/>
  <c r="R159" i="1"/>
  <c r="Q159" i="1"/>
  <c r="S159" i="1" s="1"/>
  <c r="P159" i="1"/>
  <c r="O159" i="1"/>
  <c r="R158" i="1"/>
  <c r="Q158" i="1"/>
  <c r="S158" i="1" s="1"/>
  <c r="P158" i="1"/>
  <c r="O158" i="1"/>
  <c r="R157" i="1"/>
  <c r="Q157" i="1"/>
  <c r="S157" i="1" s="1"/>
  <c r="P157" i="1"/>
  <c r="O157" i="1"/>
  <c r="R156" i="1"/>
  <c r="Q156" i="1"/>
  <c r="S156" i="1" s="1"/>
  <c r="P156" i="1"/>
  <c r="O156" i="1"/>
  <c r="R155" i="1"/>
  <c r="Q155" i="1"/>
  <c r="P155" i="1"/>
  <c r="O155" i="1"/>
  <c r="R154" i="1"/>
  <c r="Q154" i="1"/>
  <c r="P154" i="1"/>
  <c r="O154" i="1"/>
  <c r="R153" i="1"/>
  <c r="Q153" i="1"/>
  <c r="S153" i="1" s="1"/>
  <c r="P153" i="1"/>
  <c r="O153" i="1"/>
  <c r="R152" i="1"/>
  <c r="Q152" i="1"/>
  <c r="S152" i="1" s="1"/>
  <c r="P152" i="1"/>
  <c r="O152" i="1"/>
  <c r="R151" i="1"/>
  <c r="Q151" i="1"/>
  <c r="S151" i="1" s="1"/>
  <c r="P151" i="1"/>
  <c r="O151" i="1"/>
  <c r="R150" i="1"/>
  <c r="Q150" i="1"/>
  <c r="S150" i="1" s="1"/>
  <c r="P150" i="1"/>
  <c r="O150" i="1"/>
  <c r="R149" i="1"/>
  <c r="Q149" i="1"/>
  <c r="S149" i="1" s="1"/>
  <c r="P149" i="1"/>
  <c r="O149" i="1"/>
  <c r="R148" i="1"/>
  <c r="Q148" i="1"/>
  <c r="S148" i="1" s="1"/>
  <c r="P148" i="1"/>
  <c r="O148" i="1"/>
  <c r="R147" i="1"/>
  <c r="Q147" i="1"/>
  <c r="S147" i="1" s="1"/>
  <c r="P147" i="1"/>
  <c r="O147" i="1"/>
  <c r="R146" i="1"/>
  <c r="Q146" i="1"/>
  <c r="S146" i="1" s="1"/>
  <c r="P146" i="1"/>
  <c r="O146" i="1"/>
  <c r="R145" i="1"/>
  <c r="Q145" i="1"/>
  <c r="S145" i="1" s="1"/>
  <c r="P145" i="1"/>
  <c r="O145" i="1"/>
  <c r="R144" i="1"/>
  <c r="Q144" i="1"/>
  <c r="S144" i="1" s="1"/>
  <c r="P144" i="1"/>
  <c r="O144" i="1"/>
  <c r="R143" i="1"/>
  <c r="Q143" i="1"/>
  <c r="S143" i="1" s="1"/>
  <c r="P143" i="1"/>
  <c r="O143" i="1"/>
  <c r="R142" i="1"/>
  <c r="Q142" i="1"/>
  <c r="S142" i="1" s="1"/>
  <c r="P142" i="1"/>
  <c r="O142" i="1"/>
  <c r="R141" i="1"/>
  <c r="Q141" i="1"/>
  <c r="S141" i="1" s="1"/>
  <c r="P141" i="1"/>
  <c r="O141" i="1"/>
  <c r="R140" i="1"/>
  <c r="Q140" i="1"/>
  <c r="S140" i="1" s="1"/>
  <c r="P140" i="1"/>
  <c r="O140" i="1"/>
  <c r="R139" i="1"/>
  <c r="Q139" i="1"/>
  <c r="S139" i="1" s="1"/>
  <c r="P139" i="1"/>
  <c r="O139" i="1"/>
  <c r="R138" i="1"/>
  <c r="Q138" i="1"/>
  <c r="S138" i="1" s="1"/>
  <c r="P138" i="1"/>
  <c r="O138" i="1"/>
  <c r="R137" i="1"/>
  <c r="Q137" i="1"/>
  <c r="S137" i="1" s="1"/>
  <c r="P137" i="1"/>
  <c r="O137" i="1"/>
  <c r="R136" i="1"/>
  <c r="Q136" i="1"/>
  <c r="S136" i="1" s="1"/>
  <c r="P136" i="1"/>
  <c r="O136" i="1"/>
  <c r="R135" i="1"/>
  <c r="Q135" i="1"/>
  <c r="S135" i="1" s="1"/>
  <c r="P135" i="1"/>
  <c r="O135" i="1"/>
  <c r="R134" i="1"/>
  <c r="Q134" i="1"/>
  <c r="S134" i="1" s="1"/>
  <c r="P134" i="1"/>
  <c r="O134" i="1"/>
  <c r="R133" i="1"/>
  <c r="Q133" i="1"/>
  <c r="S133" i="1" s="1"/>
  <c r="P133" i="1"/>
  <c r="O133" i="1"/>
  <c r="R132" i="1"/>
  <c r="Q132" i="1"/>
  <c r="S132" i="1" s="1"/>
  <c r="P132" i="1"/>
  <c r="O132" i="1"/>
  <c r="R131" i="1"/>
  <c r="Q131" i="1"/>
  <c r="S131" i="1" s="1"/>
  <c r="P131" i="1"/>
  <c r="O131" i="1"/>
  <c r="R130" i="1"/>
  <c r="Q130" i="1"/>
  <c r="S130" i="1" s="1"/>
  <c r="P130" i="1"/>
  <c r="O130" i="1"/>
  <c r="R129" i="1"/>
  <c r="Q129" i="1"/>
  <c r="S129" i="1" s="1"/>
  <c r="P129" i="1"/>
  <c r="O129" i="1"/>
  <c r="R128" i="1"/>
  <c r="Q128" i="1"/>
  <c r="S128" i="1" s="1"/>
  <c r="P128" i="1"/>
  <c r="O128" i="1"/>
  <c r="R127" i="1"/>
  <c r="Q127" i="1"/>
  <c r="S127" i="1" s="1"/>
  <c r="P127" i="1"/>
  <c r="O127" i="1"/>
  <c r="R126" i="1"/>
  <c r="Q126" i="1"/>
  <c r="S126" i="1" s="1"/>
  <c r="P126" i="1"/>
  <c r="O126" i="1"/>
  <c r="R125" i="1"/>
  <c r="Q125" i="1"/>
  <c r="S125" i="1" s="1"/>
  <c r="P125" i="1"/>
  <c r="O125" i="1"/>
  <c r="R124" i="1"/>
  <c r="Q124" i="1"/>
  <c r="P124" i="1"/>
  <c r="O124" i="1"/>
  <c r="R123" i="1"/>
  <c r="Q123" i="1"/>
  <c r="S123" i="1" s="1"/>
  <c r="P123" i="1"/>
  <c r="O123" i="1"/>
  <c r="R122" i="1"/>
  <c r="Q122" i="1"/>
  <c r="S122" i="1" s="1"/>
  <c r="P122" i="1"/>
  <c r="O122" i="1"/>
  <c r="R121" i="1"/>
  <c r="Q121" i="1"/>
  <c r="S121" i="1" s="1"/>
  <c r="P121" i="1"/>
  <c r="O121" i="1"/>
  <c r="R120" i="1"/>
  <c r="Q120" i="1"/>
  <c r="S120" i="1" s="1"/>
  <c r="P120" i="1"/>
  <c r="O120" i="1"/>
  <c r="R119" i="1"/>
  <c r="Q119" i="1"/>
  <c r="S119" i="1" s="1"/>
  <c r="P119" i="1"/>
  <c r="O119" i="1"/>
  <c r="R118" i="1"/>
  <c r="Q118" i="1"/>
  <c r="P118" i="1"/>
  <c r="O118" i="1"/>
  <c r="R117" i="1"/>
  <c r="Q117" i="1"/>
  <c r="P117" i="1"/>
  <c r="O117" i="1"/>
  <c r="R116" i="1"/>
  <c r="Q116" i="1"/>
  <c r="S116" i="1" s="1"/>
  <c r="P116" i="1"/>
  <c r="O116" i="1"/>
  <c r="R115" i="1"/>
  <c r="Q115" i="1"/>
  <c r="P115" i="1"/>
  <c r="O115" i="1"/>
  <c r="R114" i="1"/>
  <c r="Q114" i="1"/>
  <c r="S114" i="1" s="1"/>
  <c r="P114" i="1"/>
  <c r="O114" i="1"/>
  <c r="R113" i="1"/>
  <c r="Q113" i="1"/>
  <c r="S113" i="1" s="1"/>
  <c r="P113" i="1"/>
  <c r="O113" i="1"/>
  <c r="R112" i="1"/>
  <c r="Q112" i="1"/>
  <c r="P112" i="1"/>
  <c r="O112" i="1"/>
  <c r="R111" i="1"/>
  <c r="Q111" i="1"/>
  <c r="S111" i="1" s="1"/>
  <c r="P111" i="1"/>
  <c r="O111" i="1"/>
  <c r="R110" i="1"/>
  <c r="Q110" i="1"/>
  <c r="P110" i="1"/>
  <c r="O110" i="1"/>
  <c r="R109" i="1"/>
  <c r="Q109" i="1"/>
  <c r="P109" i="1"/>
  <c r="O109" i="1"/>
  <c r="R108" i="1"/>
  <c r="Q108" i="1"/>
  <c r="S108" i="1" s="1"/>
  <c r="P108" i="1"/>
  <c r="O108" i="1"/>
  <c r="R107" i="1"/>
  <c r="Q107" i="1"/>
  <c r="S107" i="1" s="1"/>
  <c r="P107" i="1"/>
  <c r="O107" i="1"/>
  <c r="R106" i="1"/>
  <c r="Q106" i="1"/>
  <c r="P106" i="1"/>
  <c r="O106" i="1"/>
  <c r="R105" i="1"/>
  <c r="Q105" i="1"/>
  <c r="S105" i="1" s="1"/>
  <c r="P105" i="1"/>
  <c r="O105" i="1"/>
  <c r="R104" i="1"/>
  <c r="Q104" i="1"/>
  <c r="S104" i="1" s="1"/>
  <c r="P104" i="1"/>
  <c r="O104" i="1"/>
  <c r="R103" i="1"/>
  <c r="Q103" i="1"/>
  <c r="P103" i="1"/>
  <c r="O103" i="1"/>
  <c r="R102" i="1"/>
  <c r="Q102" i="1"/>
  <c r="P102" i="1"/>
  <c r="O102" i="1"/>
  <c r="R101" i="1"/>
  <c r="Q101" i="1"/>
  <c r="S101" i="1" s="1"/>
  <c r="P101" i="1"/>
  <c r="O101" i="1"/>
  <c r="R100" i="1"/>
  <c r="Q100" i="1"/>
  <c r="S100" i="1" s="1"/>
  <c r="P100" i="1"/>
  <c r="O100" i="1"/>
  <c r="R99" i="1"/>
  <c r="Q99" i="1"/>
  <c r="S99" i="1" s="1"/>
  <c r="P99" i="1"/>
  <c r="O99" i="1"/>
  <c r="R98" i="1"/>
  <c r="Q98" i="1"/>
  <c r="S98" i="1" s="1"/>
  <c r="P98" i="1"/>
  <c r="O98" i="1"/>
  <c r="R97" i="1"/>
  <c r="Q97" i="1"/>
  <c r="S97" i="1" s="1"/>
  <c r="P97" i="1"/>
  <c r="O97" i="1"/>
  <c r="R96" i="1"/>
  <c r="Q96" i="1"/>
  <c r="S96" i="1" s="1"/>
  <c r="P96" i="1"/>
  <c r="O96" i="1"/>
  <c r="R95" i="1"/>
  <c r="Q95" i="1"/>
  <c r="S95" i="1" s="1"/>
  <c r="P95" i="1"/>
  <c r="O95" i="1"/>
  <c r="R94" i="1"/>
  <c r="Q94" i="1"/>
  <c r="P94" i="1"/>
  <c r="O94" i="1"/>
  <c r="R93" i="1"/>
  <c r="Q93" i="1"/>
  <c r="S93" i="1" s="1"/>
  <c r="P93" i="1"/>
  <c r="O93" i="1"/>
  <c r="R92" i="1"/>
  <c r="Q92" i="1"/>
  <c r="P92" i="1"/>
  <c r="O92" i="1"/>
  <c r="R91" i="1"/>
  <c r="Q91" i="1"/>
  <c r="S91" i="1" s="1"/>
  <c r="P91" i="1"/>
  <c r="O91" i="1"/>
  <c r="R90" i="1"/>
  <c r="Q90" i="1"/>
  <c r="S90" i="1" s="1"/>
  <c r="P90" i="1"/>
  <c r="O90" i="1"/>
  <c r="R89" i="1"/>
  <c r="Q89" i="1"/>
  <c r="P89" i="1"/>
  <c r="O89" i="1"/>
  <c r="R88" i="1"/>
  <c r="Q88" i="1"/>
  <c r="S88" i="1" s="1"/>
  <c r="P88" i="1"/>
  <c r="O88" i="1"/>
  <c r="R87" i="1"/>
  <c r="Q87" i="1"/>
  <c r="S87" i="1" s="1"/>
  <c r="P87" i="1"/>
  <c r="O87" i="1"/>
  <c r="R86" i="1"/>
  <c r="Q86" i="1"/>
  <c r="P86" i="1"/>
  <c r="O86" i="1"/>
  <c r="R85" i="1"/>
  <c r="Q85" i="1"/>
  <c r="P85" i="1"/>
  <c r="O85" i="1"/>
  <c r="R84" i="1"/>
  <c r="Q84" i="1"/>
  <c r="S84" i="1" s="1"/>
  <c r="P84" i="1"/>
  <c r="O84" i="1"/>
  <c r="R83" i="1"/>
  <c r="Q83" i="1"/>
  <c r="S83" i="1" s="1"/>
  <c r="P83" i="1"/>
  <c r="O83" i="1"/>
  <c r="R82" i="1"/>
  <c r="Q82" i="1"/>
  <c r="S82" i="1" s="1"/>
  <c r="P82" i="1"/>
  <c r="O82" i="1"/>
  <c r="R81" i="1"/>
  <c r="Q81" i="1"/>
  <c r="S81" i="1" s="1"/>
  <c r="P81" i="1"/>
  <c r="O81" i="1"/>
  <c r="R80" i="1"/>
  <c r="Q80" i="1"/>
  <c r="P80" i="1"/>
  <c r="O80" i="1"/>
  <c r="R79" i="1"/>
  <c r="Q79" i="1"/>
  <c r="S79" i="1" s="1"/>
  <c r="P79" i="1"/>
  <c r="O79" i="1"/>
  <c r="R78" i="1"/>
  <c r="Q78" i="1"/>
  <c r="S78" i="1" s="1"/>
  <c r="P78" i="1"/>
  <c r="O78" i="1"/>
  <c r="R77" i="1"/>
  <c r="Q77" i="1"/>
  <c r="S77" i="1" s="1"/>
  <c r="P77" i="1"/>
  <c r="O77" i="1"/>
  <c r="R76" i="1"/>
  <c r="Q76" i="1"/>
  <c r="P76" i="1"/>
  <c r="O76" i="1"/>
  <c r="R75" i="1"/>
  <c r="Q75" i="1"/>
  <c r="P75" i="1"/>
  <c r="O75" i="1"/>
  <c r="R74" i="1"/>
  <c r="Q74" i="1"/>
  <c r="S74" i="1" s="1"/>
  <c r="P74" i="1"/>
  <c r="O74" i="1"/>
  <c r="R73" i="1"/>
  <c r="Q73" i="1"/>
  <c r="S73" i="1" s="1"/>
  <c r="P73" i="1"/>
  <c r="O73" i="1"/>
  <c r="R72" i="1"/>
  <c r="Q72" i="1"/>
  <c r="S72" i="1" s="1"/>
  <c r="P72" i="1"/>
  <c r="O72" i="1"/>
  <c r="R71" i="1"/>
  <c r="Q71" i="1"/>
  <c r="S71" i="1" s="1"/>
  <c r="P71" i="1"/>
  <c r="O71" i="1"/>
  <c r="R70" i="1"/>
  <c r="Q70" i="1"/>
  <c r="S70" i="1" s="1"/>
  <c r="P70" i="1"/>
  <c r="O70" i="1"/>
  <c r="R69" i="1"/>
  <c r="Q69" i="1"/>
  <c r="P69" i="1"/>
  <c r="O69" i="1"/>
  <c r="R68" i="1"/>
  <c r="Q68" i="1"/>
  <c r="S68" i="1" s="1"/>
  <c r="P68" i="1"/>
  <c r="O68" i="1"/>
  <c r="R67" i="1"/>
  <c r="Q67" i="1"/>
  <c r="S67" i="1" s="1"/>
  <c r="P67" i="1"/>
  <c r="O67" i="1"/>
  <c r="R66" i="1"/>
  <c r="Q66" i="1"/>
  <c r="S66" i="1" s="1"/>
  <c r="P66" i="1"/>
  <c r="O66" i="1"/>
  <c r="R65" i="1"/>
  <c r="Q65" i="1"/>
  <c r="S65" i="1" s="1"/>
  <c r="P65" i="1"/>
  <c r="O65" i="1"/>
  <c r="R64" i="1"/>
  <c r="Q64" i="1"/>
  <c r="S64" i="1" s="1"/>
  <c r="P64" i="1"/>
  <c r="O64" i="1"/>
  <c r="R63" i="1"/>
  <c r="Q63" i="1"/>
  <c r="P63" i="1"/>
  <c r="O63" i="1"/>
  <c r="R62" i="1"/>
  <c r="Q62" i="1"/>
  <c r="P62" i="1"/>
  <c r="O62" i="1"/>
  <c r="R61" i="1"/>
  <c r="Q61" i="1"/>
  <c r="P61" i="1"/>
  <c r="O61" i="1"/>
  <c r="R60" i="1"/>
  <c r="Q60" i="1"/>
  <c r="P60" i="1"/>
  <c r="O60" i="1"/>
  <c r="R59" i="1"/>
  <c r="Q59" i="1"/>
  <c r="P59" i="1"/>
  <c r="O59" i="1"/>
  <c r="R58" i="1"/>
  <c r="Q58" i="1"/>
  <c r="S58" i="1" s="1"/>
  <c r="P58" i="1"/>
  <c r="O58" i="1"/>
  <c r="R57" i="1"/>
  <c r="Q57" i="1"/>
  <c r="P57" i="1"/>
  <c r="O57" i="1"/>
  <c r="R56" i="1"/>
  <c r="Q56" i="1"/>
  <c r="P56" i="1"/>
  <c r="O56" i="1"/>
  <c r="R55" i="1"/>
  <c r="Q55" i="1"/>
  <c r="P55" i="1"/>
  <c r="O55" i="1"/>
  <c r="R54" i="1"/>
  <c r="Q54" i="1"/>
  <c r="P54" i="1"/>
  <c r="O54" i="1"/>
  <c r="R53" i="1"/>
  <c r="Q53" i="1"/>
  <c r="S53" i="1" s="1"/>
  <c r="P53" i="1"/>
  <c r="O53" i="1"/>
  <c r="R52" i="1"/>
  <c r="Q52" i="1"/>
  <c r="P52" i="1"/>
  <c r="O52" i="1"/>
  <c r="R51" i="1"/>
  <c r="Q51" i="1"/>
  <c r="P51" i="1"/>
  <c r="O51" i="1"/>
  <c r="R50" i="1"/>
  <c r="Q50" i="1"/>
  <c r="S50" i="1" s="1"/>
  <c r="P50" i="1"/>
  <c r="O50" i="1"/>
  <c r="R49" i="1"/>
  <c r="Q49" i="1"/>
  <c r="S49" i="1" s="1"/>
  <c r="P49" i="1"/>
  <c r="O49" i="1"/>
  <c r="R48" i="1"/>
  <c r="Q48" i="1"/>
  <c r="S48" i="1" s="1"/>
  <c r="P48" i="1"/>
  <c r="O48" i="1"/>
  <c r="R47" i="1"/>
  <c r="Q47" i="1"/>
  <c r="S47" i="1" s="1"/>
  <c r="P47" i="1"/>
  <c r="O47" i="1"/>
  <c r="R46" i="1"/>
  <c r="Q46" i="1"/>
  <c r="S46" i="1" s="1"/>
  <c r="P46" i="1"/>
  <c r="O46" i="1"/>
  <c r="R45" i="1"/>
  <c r="Q45" i="1"/>
  <c r="S45" i="1" s="1"/>
  <c r="P45" i="1"/>
  <c r="O45" i="1"/>
  <c r="R44" i="1"/>
  <c r="Q44" i="1"/>
  <c r="S44" i="1" s="1"/>
  <c r="P44" i="1"/>
  <c r="O44" i="1"/>
  <c r="R43" i="1"/>
  <c r="Q43" i="1"/>
  <c r="S43" i="1" s="1"/>
  <c r="P43" i="1"/>
  <c r="O43" i="1"/>
  <c r="R42" i="1"/>
  <c r="Q42" i="1"/>
  <c r="S42" i="1" s="1"/>
  <c r="P42" i="1"/>
  <c r="O42" i="1"/>
  <c r="R41" i="1"/>
  <c r="Q41" i="1"/>
  <c r="S41" i="1" s="1"/>
  <c r="P41" i="1"/>
  <c r="O41" i="1"/>
  <c r="R40" i="1"/>
  <c r="Q40" i="1"/>
  <c r="S40" i="1" s="1"/>
  <c r="P40" i="1"/>
  <c r="O40" i="1"/>
  <c r="R39" i="1"/>
  <c r="Q39" i="1"/>
  <c r="S39" i="1" s="1"/>
  <c r="P39" i="1"/>
  <c r="O39" i="1"/>
  <c r="R38" i="1"/>
  <c r="Q38" i="1"/>
  <c r="S38" i="1" s="1"/>
  <c r="P38" i="1"/>
  <c r="O38" i="1"/>
  <c r="R37" i="1"/>
  <c r="Q37" i="1"/>
  <c r="P37" i="1"/>
  <c r="O37" i="1"/>
  <c r="R36" i="1"/>
  <c r="Q36" i="1"/>
  <c r="S36" i="1" s="1"/>
  <c r="P36" i="1"/>
  <c r="O36" i="1"/>
  <c r="R35" i="1"/>
  <c r="Q35" i="1"/>
  <c r="S35" i="1" s="1"/>
  <c r="P35" i="1"/>
  <c r="O35" i="1"/>
  <c r="R34" i="1"/>
  <c r="Q34" i="1"/>
  <c r="S34" i="1" s="1"/>
  <c r="P34" i="1"/>
  <c r="O34" i="1"/>
  <c r="R33" i="1"/>
  <c r="Q33" i="1"/>
  <c r="S33" i="1" s="1"/>
  <c r="P33" i="1"/>
  <c r="O33" i="1"/>
  <c r="R32" i="1"/>
  <c r="Q32" i="1"/>
  <c r="S32" i="1" s="1"/>
  <c r="P32" i="1"/>
  <c r="O32" i="1"/>
  <c r="R31" i="1"/>
  <c r="Q31" i="1"/>
  <c r="S31" i="1" s="1"/>
  <c r="P31" i="1"/>
  <c r="O31" i="1"/>
  <c r="R30" i="1"/>
  <c r="Q30" i="1"/>
  <c r="S30" i="1" s="1"/>
  <c r="P30" i="1"/>
  <c r="O30" i="1"/>
  <c r="R29" i="1"/>
  <c r="Q29" i="1"/>
  <c r="S29" i="1" s="1"/>
  <c r="P29" i="1"/>
  <c r="O29" i="1"/>
  <c r="R28" i="1"/>
  <c r="Q28" i="1"/>
  <c r="S28" i="1" s="1"/>
  <c r="P28" i="1"/>
  <c r="O28" i="1"/>
  <c r="R27" i="1"/>
  <c r="Q27" i="1"/>
  <c r="S27" i="1" s="1"/>
  <c r="P27" i="1"/>
  <c r="O27" i="1"/>
  <c r="R26" i="1"/>
  <c r="Q26" i="1"/>
  <c r="S26" i="1" s="1"/>
  <c r="P26" i="1"/>
  <c r="O26" i="1"/>
  <c r="R25" i="1"/>
  <c r="Q25" i="1"/>
  <c r="S25" i="1" s="1"/>
  <c r="P25" i="1"/>
  <c r="O25" i="1"/>
  <c r="R24" i="1"/>
  <c r="Q24" i="1"/>
  <c r="S24" i="1" s="1"/>
  <c r="P24" i="1"/>
  <c r="O24" i="1"/>
  <c r="R23" i="1"/>
  <c r="Q23" i="1"/>
  <c r="S23" i="1" s="1"/>
  <c r="P23" i="1"/>
  <c r="O23" i="1"/>
  <c r="R22" i="1"/>
  <c r="Q22" i="1"/>
  <c r="S22" i="1" s="1"/>
  <c r="P22" i="1"/>
  <c r="O22" i="1"/>
  <c r="R21" i="1"/>
  <c r="Q21" i="1"/>
  <c r="S21" i="1" s="1"/>
  <c r="P21" i="1"/>
  <c r="O21" i="1"/>
  <c r="R20" i="1"/>
  <c r="Q20" i="1"/>
  <c r="S20" i="1" s="1"/>
  <c r="P20" i="1"/>
  <c r="O20" i="1"/>
  <c r="R19" i="1"/>
  <c r="Q19" i="1"/>
  <c r="S19" i="1" s="1"/>
  <c r="P19" i="1"/>
  <c r="O19" i="1"/>
  <c r="R18" i="1"/>
  <c r="Q18" i="1"/>
  <c r="S18" i="1" s="1"/>
  <c r="P18" i="1"/>
  <c r="O18" i="1"/>
  <c r="R17" i="1"/>
  <c r="Q17" i="1"/>
  <c r="S17" i="1" s="1"/>
  <c r="P17" i="1"/>
  <c r="O17" i="1"/>
  <c r="R16" i="1"/>
  <c r="Q16" i="1"/>
  <c r="S16" i="1" s="1"/>
  <c r="O16" i="1"/>
  <c r="P16" i="1" s="1"/>
  <c r="Q15" i="1"/>
  <c r="P15" i="1"/>
  <c r="O15" i="1"/>
  <c r="C14" i="1"/>
  <c r="B14" i="1"/>
  <c r="H8" i="1"/>
  <c r="G8" i="1"/>
  <c r="F8" i="1"/>
  <c r="E8" i="1"/>
  <c r="D8" i="1"/>
  <c r="B8" i="1"/>
  <c r="I6" i="1"/>
  <c r="H6" i="1"/>
  <c r="G6" i="1"/>
  <c r="F6" i="1"/>
  <c r="E6" i="1"/>
  <c r="D6" i="1"/>
  <c r="B6" i="1"/>
  <c r="O3" i="1"/>
  <c r="S307" i="1" l="1"/>
  <c r="S297" i="1"/>
  <c r="S195" i="1"/>
  <c r="S285" i="1"/>
  <c r="S279" i="1"/>
  <c r="S303" i="1"/>
  <c r="S92" i="1"/>
  <c r="S155" i="1"/>
  <c r="S124" i="1"/>
  <c r="S218" i="1"/>
  <c r="S215" i="1"/>
  <c r="S214" i="1"/>
  <c r="S62" i="1"/>
  <c r="S59" i="1"/>
  <c r="S212" i="1"/>
  <c r="S181" i="1"/>
  <c r="S179" i="1"/>
  <c r="S177" i="1"/>
  <c r="S176" i="1"/>
  <c r="S299" i="1"/>
  <c r="S211" i="1"/>
  <c r="S52" i="1"/>
  <c r="S298" i="1"/>
  <c r="S178" i="1"/>
  <c r="S76" i="1"/>
  <c r="S203" i="1"/>
  <c r="S75" i="1"/>
  <c r="S60" i="1"/>
  <c r="S56" i="1"/>
  <c r="S282" i="1"/>
  <c r="S280" i="1"/>
  <c r="S277" i="1"/>
  <c r="S235" i="1"/>
  <c r="S217" i="1"/>
  <c r="S180" i="1"/>
  <c r="S182" i="1"/>
  <c r="S291" i="1"/>
  <c r="S51" i="1"/>
  <c r="S61" i="1"/>
  <c r="S154" i="1"/>
  <c r="S256" i="1"/>
  <c r="S216" i="1"/>
  <c r="S15" i="1"/>
  <c r="S117" i="1"/>
  <c r="S112" i="1"/>
  <c r="S63" i="1"/>
  <c r="S268" i="1"/>
  <c r="S264" i="1"/>
  <c r="S175" i="1"/>
  <c r="S110" i="1"/>
  <c r="S94" i="1"/>
  <c r="S293" i="1"/>
  <c r="S213" i="1"/>
  <c r="S196" i="1"/>
  <c r="S118" i="1"/>
  <c r="S103" i="1"/>
  <c r="S89" i="1"/>
  <c r="S57" i="1"/>
  <c r="S254" i="1"/>
  <c r="S54" i="1"/>
  <c r="S37" i="1"/>
  <c r="S115" i="1"/>
  <c r="S85" i="1"/>
  <c r="S80" i="1"/>
  <c r="S109" i="1"/>
  <c r="S86" i="1"/>
  <c r="S55" i="1"/>
  <c r="S69" i="1"/>
  <c r="S219" i="1"/>
  <c r="S106" i="1"/>
  <c r="S102" i="1"/>
  <c r="S252" i="1"/>
  <c r="S240" i="1"/>
  <c r="J8" i="2"/>
  <c r="B9" i="2"/>
  <c r="P9" i="2" s="1"/>
  <c r="P10" i="2" s="1"/>
  <c r="B10" i="2"/>
  <c r="P14" i="1"/>
  <c r="K8" i="1"/>
  <c r="Q8" i="1" l="1"/>
  <c r="S14" i="1"/>
  <c r="Q10" i="2"/>
  <c r="R10" i="2" s="1"/>
  <c r="H9" i="2"/>
  <c r="H10" i="2" s="1"/>
  <c r="G9" i="2"/>
  <c r="G10" i="2" s="1"/>
  <c r="F9" i="2"/>
  <c r="F10" i="2" s="1"/>
  <c r="E9" i="2"/>
  <c r="E10" i="2" s="1"/>
  <c r="D9" i="2"/>
  <c r="D10" i="2" s="1"/>
  <c r="J10" i="2" s="1"/>
  <c r="L10" i="2" s="1"/>
  <c r="K10" i="1"/>
  <c r="B9" i="1"/>
  <c r="H9" i="1"/>
  <c r="H10" i="1" s="1"/>
  <c r="G9" i="1"/>
  <c r="G10" i="1" s="1"/>
  <c r="F9" i="1"/>
  <c r="F10" i="1" s="1"/>
  <c r="E9" i="1"/>
  <c r="E10" i="1" s="1"/>
  <c r="D9" i="1"/>
  <c r="D10" i="1" s="1"/>
  <c r="I3" i="1" l="1"/>
  <c r="Q9" i="1"/>
  <c r="Q12" i="1" s="1"/>
  <c r="B10" i="1"/>
  <c r="H11" i="1"/>
  <c r="H12" i="1" s="1"/>
  <c r="G11" i="1"/>
  <c r="G12" i="1" s="1"/>
  <c r="F11" i="1"/>
  <c r="F12" i="1" s="1"/>
  <c r="E11" i="1"/>
  <c r="E12" i="1" s="1"/>
  <c r="D11" i="1"/>
  <c r="D12" i="1" s="1"/>
  <c r="B12" i="1" l="1"/>
  <c r="I11" i="1"/>
  <c r="I12" i="1" s="1"/>
  <c r="R12" i="1" l="1"/>
  <c r="S12" i="1" s="1"/>
  <c r="K12" i="1"/>
  <c r="M12" i="1" s="1"/>
</calcChain>
</file>

<file path=xl/sharedStrings.xml><?xml version="1.0" encoding="utf-8"?>
<sst xmlns="http://schemas.openxmlformats.org/spreadsheetml/2006/main" count="1043" uniqueCount="631">
  <si>
    <t>Vendor:</t>
  </si>
  <si>
    <t>SELECT OR TYPE</t>
  </si>
  <si>
    <t>To I/C Tracker</t>
  </si>
  <si>
    <t>Invoice #:</t>
  </si>
  <si>
    <t>ENTER</t>
  </si>
  <si>
    <t>(for use tax comp)</t>
  </si>
  <si>
    <t>Taxable?</t>
  </si>
  <si>
    <t>Yes</t>
  </si>
  <si>
    <t>Date:</t>
  </si>
  <si>
    <t>Lease or Rental?:</t>
  </si>
  <si>
    <t>SELECT</t>
  </si>
  <si>
    <t>INVOICE
WORDING</t>
  </si>
  <si>
    <t>Rebill</t>
  </si>
  <si>
    <t>Internal PMS</t>
  </si>
  <si>
    <t>Internal
Repairs</t>
  </si>
  <si>
    <t>External
PMS</t>
  </si>
  <si>
    <t>External
Repairs</t>
  </si>
  <si>
    <t>SELECT OTHER ACCOUNT</t>
  </si>
  <si>
    <t>IF SALES TAX, WHAT STATE?</t>
  </si>
  <si>
    <t>Misc:</t>
  </si>
  <si>
    <t>Markup %:</t>
  </si>
  <si>
    <t>Subtotal:</t>
  </si>
  <si>
    <t>Tax Amt:</t>
  </si>
  <si>
    <t>Inv Tot</t>
  </si>
  <si>
    <t>Diff (s/b 0)</t>
  </si>
  <si>
    <t>Margin $</t>
  </si>
  <si>
    <t>Margin %</t>
  </si>
  <si>
    <t>Enter in PO:</t>
  </si>
  <si>
    <t>Total to Rebill:</t>
  </si>
  <si>
    <t>Parts</t>
  </si>
  <si>
    <t>Labor</t>
  </si>
  <si>
    <t>Markup %</t>
  </si>
  <si>
    <t>Labor HRS</t>
  </si>
  <si>
    <t>Labor Rate</t>
  </si>
  <si>
    <t>Misc</t>
  </si>
  <si>
    <t>Peterbilt of Utah</t>
  </si>
  <si>
    <t>Billings Peterbilt</t>
  </si>
  <si>
    <t>Boise Peterbilt</t>
  </si>
  <si>
    <t>Caldwell Peterbilt</t>
  </si>
  <si>
    <t>Casper Peterbilt</t>
  </si>
  <si>
    <t>Chehalis Peterbilt</t>
  </si>
  <si>
    <t>Cheyenne Peterbilt</t>
  </si>
  <si>
    <t>Columbia Falls Peterbilt</t>
  </si>
  <si>
    <t>Elko Peterbilt</t>
  </si>
  <si>
    <t>Grand Junction Peterbilt</t>
  </si>
  <si>
    <t>Great Falls Peterbilt</t>
  </si>
  <si>
    <t>Idaho Falls Peterbilt</t>
  </si>
  <si>
    <t>Jerome Peterbilt</t>
  </si>
  <si>
    <t>Kelso Peterbilt</t>
  </si>
  <si>
    <t>Magic Valley Petebilt</t>
  </si>
  <si>
    <t>Medford Peterbilt</t>
  </si>
  <si>
    <t>Missoula Peterbilt</t>
  </si>
  <si>
    <t>583040</t>
  </si>
  <si>
    <t>UTAH</t>
  </si>
  <si>
    <t>230000</t>
  </si>
  <si>
    <t>Ogden Peterbilt</t>
  </si>
  <si>
    <t>494540</t>
  </si>
  <si>
    <t>IDAHO</t>
  </si>
  <si>
    <t>231000</t>
  </si>
  <si>
    <t>Ontario Peterbilt</t>
  </si>
  <si>
    <t>584040</t>
  </si>
  <si>
    <t>NEVADA</t>
  </si>
  <si>
    <t>234000</t>
  </si>
  <si>
    <t>Pocatello Peterbilt</t>
  </si>
  <si>
    <t>585040</t>
  </si>
  <si>
    <t>COLORADO</t>
  </si>
  <si>
    <t>233000</t>
  </si>
  <si>
    <t>Portland Basin Peterbilt</t>
  </si>
  <si>
    <t>586040</t>
  </si>
  <si>
    <t>WYOMING</t>
  </si>
  <si>
    <t>232000</t>
  </si>
  <si>
    <t>Portland Lagoon Peterbilt</t>
  </si>
  <si>
    <t>587040</t>
  </si>
  <si>
    <t xml:space="preserve"> </t>
  </si>
  <si>
    <t>Riverton Peterbilt</t>
  </si>
  <si>
    <t>582040</t>
  </si>
  <si>
    <t>IF OTHER, LEAVE BLANK</t>
  </si>
  <si>
    <t>Rock Springs Peterbilt</t>
  </si>
  <si>
    <t>582440</t>
  </si>
  <si>
    <t>Roseburg Peterbilt</t>
  </si>
  <si>
    <t>595040</t>
  </si>
  <si>
    <t>Salem Peterbilt</t>
  </si>
  <si>
    <t>595140</t>
  </si>
  <si>
    <t>Salina Peterbilt</t>
  </si>
  <si>
    <t>580040</t>
  </si>
  <si>
    <t>St. George Peterbilt</t>
  </si>
  <si>
    <t>593040</t>
  </si>
  <si>
    <t>Troutdale Peterbilt</t>
  </si>
  <si>
    <t>593540</t>
  </si>
  <si>
    <t>Utah Valley Peterbilt</t>
  </si>
  <si>
    <t>588040</t>
  </si>
  <si>
    <t>Vernal Petebilt</t>
  </si>
  <si>
    <t>588540</t>
  </si>
  <si>
    <t>Willamette Valley Peterbilt</t>
  </si>
  <si>
    <t>ACCT #</t>
  </si>
  <si>
    <t>NAME</t>
  </si>
  <si>
    <t>TAX EXEMPT #</t>
  </si>
  <si>
    <t>PO REQUIRED</t>
  </si>
  <si>
    <t>A CORE CONCRETE CUTTING INC</t>
  </si>
  <si>
    <t>YES</t>
  </si>
  <si>
    <t>A PLUS AUTOMOTIVE</t>
  </si>
  <si>
    <t>ACE INTERMOUNTAIN RECYCLING CENTER LLC</t>
  </si>
  <si>
    <t>ADVANCED DELIVERY SERVICE LLC</t>
  </si>
  <si>
    <t>ADVANTAGE TRANSPORTATION</t>
  </si>
  <si>
    <t>AG COMMODITIES LLC</t>
  </si>
  <si>
    <t>ALLIED POTATO TRANSPORTATION</t>
  </si>
  <si>
    <t>AMC USA LLC</t>
  </si>
  <si>
    <t>ASAEL FARR &amp; SONS COMPANY</t>
  </si>
  <si>
    <t>ASHDOWN TRANSPORT INC</t>
  </si>
  <si>
    <t>NO</t>
  </si>
  <si>
    <t>AUTOLIV ASP INC</t>
  </si>
  <si>
    <t>B &amp; B SUPPLY INC</t>
  </si>
  <si>
    <t>B H INC</t>
  </si>
  <si>
    <t>B J CECIL TRUCKING INC</t>
  </si>
  <si>
    <t>BARRY TRUCKING INC</t>
  </si>
  <si>
    <t>BASIN WESTERN INC</t>
  </si>
  <si>
    <t>BEEHIVE LOGISTICS LLC</t>
  </si>
  <si>
    <t>BIG C FINANCE</t>
  </si>
  <si>
    <t>BILL MONNETT CONSTRUCTION INC</t>
  </si>
  <si>
    <t>BLAINE HARTLEY INC</t>
  </si>
  <si>
    <t>BLUE HILLS TRANSPORT LLC</t>
  </si>
  <si>
    <t>BLUE MOUNTAIN TRANSPORATION</t>
  </si>
  <si>
    <t>BOISE PETERBILT INC</t>
  </si>
  <si>
    <t>BRAVO'S LOGISTICS LLC</t>
  </si>
  <si>
    <t>BRINKS INCORPORATED</t>
  </si>
  <si>
    <t>BRODY CHEMICAL COMPANY INC</t>
  </si>
  <si>
    <t>BROWN STRAUSS STEEL</t>
  </si>
  <si>
    <t>C &amp; H DISTRIBUTING CO INC</t>
  </si>
  <si>
    <t>CACHE VALLEY ELECTRIC COMPANY</t>
  </si>
  <si>
    <t>CALL'S BEAR RIVER TRUCKING</t>
  </si>
  <si>
    <t>CAVRAG EXPRESS INC</t>
  </si>
  <si>
    <t>CHAD PORTER ENTERPRISES LLC</t>
  </si>
  <si>
    <t>CHALLENGER PALLET &amp; SUPPLY INC</t>
  </si>
  <si>
    <t>CITY CENTER SOUND AND STAGE</t>
  </si>
  <si>
    <t>COMPASS MINERALS</t>
  </si>
  <si>
    <t>CONCORDE REFRIGERATED</t>
  </si>
  <si>
    <t>CONDIE CONSTRUCTION COMPANY INC</t>
  </si>
  <si>
    <t>CONSERVANCY OIL CO OF GJ INC</t>
  </si>
  <si>
    <t>CONSOLIDATED ELECTRICAL DISTRIBUTORS INC</t>
  </si>
  <si>
    <t>CONSOLIDATED SUPPLY</t>
  </si>
  <si>
    <t>CONTAINER TRANSFER CORPORATION</t>
  </si>
  <si>
    <t>CONTEMPO CERAMIC TILE</t>
  </si>
  <si>
    <t>COPELAND TRUCKING INC</t>
  </si>
  <si>
    <t>COWAN SYSTEMS LLC</t>
  </si>
  <si>
    <t>COWBOY EXPRESS LLC</t>
  </si>
  <si>
    <t>CP &amp; R TRANSPORT LLC</t>
  </si>
  <si>
    <t>CRUS INVESTMENT LLC</t>
  </si>
  <si>
    <t>D &amp; L SUPPLY</t>
  </si>
  <si>
    <t>DAVID MILLER &amp; SONS INC</t>
  </si>
  <si>
    <t>DAY ONE LOGISTICS LLC</t>
  </si>
  <si>
    <t>DD &amp; S EXPRESS INC</t>
  </si>
  <si>
    <t>DONS FROZEN EXPRESS INC</t>
  </si>
  <si>
    <t>DSU PETERBILT &amp; GMC INC</t>
  </si>
  <si>
    <t>ELEVATION TRANSPORT</t>
  </si>
  <si>
    <t>ELIASON RANCH TRUCKING</t>
  </si>
  <si>
    <t>ELLIS DUDIS GRINDING ENTERPRISES LLC</t>
  </si>
  <si>
    <t>EMH TRANSPORTATION LLC</t>
  </si>
  <si>
    <t>ENERGY ENTERPRISES INC</t>
  </si>
  <si>
    <t>ENVIRO CARE INC</t>
  </si>
  <si>
    <t>EXEL INC DBA DHL SUPPLY CHAIN</t>
  </si>
  <si>
    <t>FIREFLY AUTOMATIX INC</t>
  </si>
  <si>
    <t>FLEXPAK INC</t>
  </si>
  <si>
    <t>FMI TRANSPORTATION LLC</t>
  </si>
  <si>
    <t>FOOD EXPRESS INC</t>
  </si>
  <si>
    <t>FOREST PRODUCTS SALES INC</t>
  </si>
  <si>
    <t>FRANDSEN TRANSPORT LLC</t>
  </si>
  <si>
    <t>FRESENIUS MEDICAL DISTRIBUTION</t>
  </si>
  <si>
    <t>G &amp; S SALES INC</t>
  </si>
  <si>
    <t>GENERAL DISTRIBUTING CO</t>
  </si>
  <si>
    <t>GLOBAL HEALTH INDUSTRIES</t>
  </si>
  <si>
    <t>GOLDEN GATE PETROLEUM</t>
  </si>
  <si>
    <t>GRAND JUNCTION PETERBIL</t>
  </si>
  <si>
    <t>GREG ABRAMS SEAFOOD INC</t>
  </si>
  <si>
    <t>G'S LOGISTICS INC</t>
  </si>
  <si>
    <t>GURNEY TRUCKING INC</t>
  </si>
  <si>
    <t>HAULIN ASS-PHALT LLC</t>
  </si>
  <si>
    <t>HIGHWAY TRANSIT LLC</t>
  </si>
  <si>
    <t>HILL BROTHERS CHEMICAL</t>
  </si>
  <si>
    <t>HILLSIDE FLORAL</t>
  </si>
  <si>
    <t>HORSELESS CARRIAGE CARRIERS INC</t>
  </si>
  <si>
    <t>HUNT &amp; SONS INC</t>
  </si>
  <si>
    <t>IDAHO FALLS PETERBILT</t>
  </si>
  <si>
    <t>IDAHO PACKAGE COMPANY INC</t>
  </si>
  <si>
    <t>IDAHO TRUCK LINES INC</t>
  </si>
  <si>
    <t>IMAN TRANSPORT LLC</t>
  </si>
  <si>
    <t>IMX TRANSPORT</t>
  </si>
  <si>
    <t>INTERIOR SPECIALTIES INC</t>
  </si>
  <si>
    <t>INTERNAL USED TRUCKS</t>
  </si>
  <si>
    <t>INTER-STATE OIL CO</t>
  </si>
  <si>
    <t>IRVINE ENTERPRISES LLC</t>
  </si>
  <si>
    <t>JADEN TRANSPORT INC</t>
  </si>
  <si>
    <t>JASON GREENWAY TRUCKING</t>
  </si>
  <si>
    <t>JENKS EXPRESS TRANSPORT LLC</t>
  </si>
  <si>
    <t>JEROME PETERBILT</t>
  </si>
  <si>
    <t>JOHANSEN CONSTRUCTION INC</t>
  </si>
  <si>
    <t>KARL MAJORS LLC</t>
  </si>
  <si>
    <t>KENAN</t>
  </si>
  <si>
    <t>KFORCE EXPRESS INC</t>
  </si>
  <si>
    <t>KING FARMS TRUCKING LLC</t>
  </si>
  <si>
    <t>KITCO LLC</t>
  </si>
  <si>
    <t>KNOX TRANSPORTATION SERVICES LLC</t>
  </si>
  <si>
    <t>KW DANE TRANSPORT LTD</t>
  </si>
  <si>
    <t>L W MILLER TRANSPORTATION HOLDINGS INC</t>
  </si>
  <si>
    <t>LAND VIEW INC</t>
  </si>
  <si>
    <t>LANDMARK TRUCKING LLC</t>
  </si>
  <si>
    <t>LANG'S TRANSPORT INC</t>
  </si>
  <si>
    <t>LAYTON CONSTRUCTION CO INC</t>
  </si>
  <si>
    <t>LEFAVOR ENVELOPE CO</t>
  </si>
  <si>
    <t>LIBERTY PRESS TRANSPORT LLC</t>
  </si>
  <si>
    <t>LIBERTY TIRE SERVICES OF OHIO LLC</t>
  </si>
  <si>
    <t>LINK ONE POTATO SOLUTIONS LLC</t>
  </si>
  <si>
    <t>LITTLE BRITCHES TRANSPORTATION INC</t>
  </si>
  <si>
    <t>M E I RIGGING &amp; CRATING LLC</t>
  </si>
  <si>
    <t>M PYNE CUSTOM HAULING</t>
  </si>
  <si>
    <t>MARQUEZ TRUCKING LLC</t>
  </si>
  <si>
    <t>MAXAM US LLC</t>
  </si>
  <si>
    <t>MAXFIELD TRUCKING INC</t>
  </si>
  <si>
    <t>MAXX OUT LOGISTICS LLC</t>
  </si>
  <si>
    <t>MEDELEZ TRUCKING LLC</t>
  </si>
  <si>
    <t>MIDNIGHT TRUCKING LLC</t>
  </si>
  <si>
    <t>MIDWEST FLOOR COVERINGS INC</t>
  </si>
  <si>
    <t>MODEL DAIRY</t>
  </si>
  <si>
    <t>MODEL LINEN INC</t>
  </si>
  <si>
    <t>MODERN DISPLAY SERVICES INC</t>
  </si>
  <si>
    <t>MODERN TRANSPORTATION LLC</t>
  </si>
  <si>
    <t>MOON RIVER TRUCKING INC</t>
  </si>
  <si>
    <t>MOUNTAINLAND APPLES INC</t>
  </si>
  <si>
    <t>MR BULT'S INC</t>
  </si>
  <si>
    <t>MUIR ENTERPRISES INC</t>
  </si>
  <si>
    <t>NATIONALEASE OF UTAH</t>
  </si>
  <si>
    <t>NELSON &amp; SONS INC</t>
  </si>
  <si>
    <t>NEWAY PACKAGING CORP</t>
  </si>
  <si>
    <t>NUSSBAUM TRANSPORTATION</t>
  </si>
  <si>
    <t>OASIS STAGE WERKS INC</t>
  </si>
  <si>
    <t>OFF SPEC SOLUTIONS</t>
  </si>
  <si>
    <t>OLSON MOTOR LINES INC</t>
  </si>
  <si>
    <t>OMNI LINEN SERVICES LLC</t>
  </si>
  <si>
    <t>OTTO LOGISTICS OF COLORADO LLC</t>
  </si>
  <si>
    <t>P S C INDUSTRIAL OUTSOURCING LP</t>
  </si>
  <si>
    <t>PACCAR FINANCIAL CORP</t>
  </si>
  <si>
    <t>PACCENTRAL</t>
  </si>
  <si>
    <t>PACKAGERUNNER TRANSPORT LLC</t>
  </si>
  <si>
    <t>PACKARD WHOLESALE</t>
  </si>
  <si>
    <t>PALMER VENTURES LLC</t>
  </si>
  <si>
    <t>PARS TRANSPORT LP</t>
  </si>
  <si>
    <t>PAT PIERSON TRUCKING IN</t>
  </si>
  <si>
    <t>PCS TRUCKING</t>
  </si>
  <si>
    <t>PERRYDISE LLC</t>
  </si>
  <si>
    <t>PETERBILT MOTORS</t>
  </si>
  <si>
    <t>PETERBILT OF UTAH</t>
  </si>
  <si>
    <t>PICTSWEET COMPANY</t>
  </si>
  <si>
    <t>PILOT TRAVEL CENTERS LLC</t>
  </si>
  <si>
    <t>PROFESSIONAL FLOORING SUPPLY</t>
  </si>
  <si>
    <t>PROTECH COATINGS INC</t>
  </si>
  <si>
    <t>PURPLE INNOVATION LLC</t>
  </si>
  <si>
    <t>QUALITY MEATS INC</t>
  </si>
  <si>
    <t>R L MILLER TRANSPORT INC</t>
  </si>
  <si>
    <t>RAE TRUCKING</t>
  </si>
  <si>
    <t>RAIL SCALE INC</t>
  </si>
  <si>
    <t>RHINEHART OIL CO LLC</t>
  </si>
  <si>
    <t>RISING TIDE INC</t>
  </si>
  <si>
    <t>RMP MOBILE &amp; EQUIPMENT LLC</t>
  </si>
  <si>
    <t>ROCKY MOUNTAIN PIES LLC</t>
  </si>
  <si>
    <t>ROU TRANSPORTATION LLC</t>
  </si>
  <si>
    <t>ROUSH FARMS</t>
  </si>
  <si>
    <t>RUBY DOME INC</t>
  </si>
  <si>
    <t>RUBY MTN NATURAL SPRING WATER</t>
  </si>
  <si>
    <t>RUSH TRUCK LEASING</t>
  </si>
  <si>
    <t>S I D TRUCKING INC</t>
  </si>
  <si>
    <t>SALT LAKE EXCAVATING INC</t>
  </si>
  <si>
    <t>SETH SWEETEN TRUCKING INC</t>
  </si>
  <si>
    <t>SIERRA PACIFIC WINDOWS</t>
  </si>
  <si>
    <t>SILVER K TRUCKING</t>
  </si>
  <si>
    <t>SIMON TRANSPORT LLC</t>
  </si>
  <si>
    <t>SOLI BOND INC</t>
  </si>
  <si>
    <t>SOUTH UTAH VALLEY SOLID</t>
  </si>
  <si>
    <t>SPENCE OIL LLC</t>
  </si>
  <si>
    <t>SPRINTER TRANSIT</t>
  </si>
  <si>
    <t>ST GEORGE PETERBILT</t>
  </si>
  <si>
    <t>STERICYCLE ENVIRONMENTAL SOLUTIONS INC</t>
  </si>
  <si>
    <t>STERICYCLE INC - DACONO CO</t>
  </si>
  <si>
    <t>STEVENS SALES COMPANY</t>
  </si>
  <si>
    <t>STRAIGHT STRIPE PAINTING INC</t>
  </si>
  <si>
    <t>SUNROC BUILDING MATERIALS INC</t>
  </si>
  <si>
    <t>SUPREME CORPORATION</t>
  </si>
  <si>
    <t>TAURUS NATURAL MANUFACTURING LLC</t>
  </si>
  <si>
    <t>TERRA TEK INC</t>
  </si>
  <si>
    <t>TEXTILE CARE SERVICES</t>
  </si>
  <si>
    <t>TGLV SERVICES INC</t>
  </si>
  <si>
    <t>THE GOMBOS COMPANY LLC</t>
  </si>
  <si>
    <t>THE OTHER SIDE MOVERS LLC</t>
  </si>
  <si>
    <t>THE PIG BOYS INC</t>
  </si>
  <si>
    <t>THERMO FLUIDS</t>
  </si>
  <si>
    <t>TIM SAVAGE TRUCKING LLC</t>
  </si>
  <si>
    <t>TRANSX LTD</t>
  </si>
  <si>
    <t>TRINITY TRANSPORT OF ORLANDO INC</t>
  </si>
  <si>
    <t>TWIN ENERGY LLC</t>
  </si>
  <si>
    <t>UNITED STATES WELDING INC</t>
  </si>
  <si>
    <t>UNIVAR USA INC</t>
  </si>
  <si>
    <t>UPS - SALT LAKE CITY</t>
  </si>
  <si>
    <t>UTAH VALLEY PETERBILT</t>
  </si>
  <si>
    <t>UTILITY TRAILER SALES OF UTAH</t>
  </si>
  <si>
    <t>V O G TRUCKING INC</t>
  </si>
  <si>
    <t>VERDUZCO TRUCKING INC</t>
  </si>
  <si>
    <t>VF TRUCKING LLC</t>
  </si>
  <si>
    <t>WADSWORTH BROTHERS CONSTRUCTION</t>
  </si>
  <si>
    <t>WASTE &amp; WATER LOGISTICS LLC</t>
  </si>
  <si>
    <t>WESTERN CARGO SERVICES INC</t>
  </si>
  <si>
    <t>WESTERN MOUNTAIN TRANSPORT</t>
  </si>
  <si>
    <t>WESTERN NUT COMPANY</t>
  </si>
  <si>
    <t>YOPO EXPEDITE</t>
  </si>
  <si>
    <t>ZIM INDUSTRIES INC</t>
  </si>
  <si>
    <t>JACKSON GROUP PACLEASE CUSTOMER LIST</t>
  </si>
  <si>
    <t>NO APPROVAL NEEDED</t>
  </si>
  <si>
    <t>CREDIT APPROVAL REQUIRED</t>
  </si>
  <si>
    <t>CLOSED ACCOUNTS</t>
  </si>
  <si>
    <t>ACCOUNT NUMBER</t>
  </si>
  <si>
    <t>ACCOUNT NAME</t>
  </si>
  <si>
    <t>OPENED DATE</t>
  </si>
  <si>
    <t>A1 TRANSPORTATION</t>
  </si>
  <si>
    <t>A CORE CONCRETE CUTTING</t>
  </si>
  <si>
    <t>A G NEEDS INC</t>
  </si>
  <si>
    <t>AG EXPRESS INC</t>
  </si>
  <si>
    <t>AL PARK PETROLEUM INC</t>
  </si>
  <si>
    <t>ALFALFA EXRESS TRUCKING LLC</t>
  </si>
  <si>
    <t>ALLIED POTATO INC</t>
  </si>
  <si>
    <t>ANDREWS TRUCK MANAGEMENT</t>
  </si>
  <si>
    <t>ANDRUS TRANSPORTATION SERVICES INC</t>
  </si>
  <si>
    <t>ARCO INDUSTRIAL SALES INC</t>
  </si>
  <si>
    <t>ARLO G LOTT TRUCKING</t>
  </si>
  <si>
    <t>ASHDOWN TRANSPORT</t>
  </si>
  <si>
    <t>ASPEN PRESS COMPANY LC</t>
  </si>
  <si>
    <t>B H I</t>
  </si>
  <si>
    <t>B-A-D REPAIR</t>
  </si>
  <si>
    <t>BARNEY TRUCKING INC</t>
  </si>
  <si>
    <t>BARRETO TRUCKING</t>
  </si>
  <si>
    <t>BIG BENS TRANSPORT SERVICE</t>
  </si>
  <si>
    <t>BINGHAM TRUCKING LLC</t>
  </si>
  <si>
    <t>BJ CECIL TRUCKING INC</t>
  </si>
  <si>
    <t>BLAINE EVANS TRUCKING</t>
  </si>
  <si>
    <t>BLUE LINE FOODSERVICE DIST INC</t>
  </si>
  <si>
    <t>BOULEVARD HOME FURNISHINGS</t>
  </si>
  <si>
    <t>BRITTAIN TRUCKING INC</t>
  </si>
  <si>
    <t>BRON LEATHAM TRUCKING LLC</t>
  </si>
  <si>
    <t>BURNINGHAM ENTERPRISES</t>
  </si>
  <si>
    <t>BY PRODUCTS EXPRESS LLC</t>
  </si>
  <si>
    <t>CALDWELL PETERBILT</t>
  </si>
  <si>
    <t>CALIFORNIA OVERLAND LTD</t>
  </si>
  <si>
    <t>CARTER FREIGHT</t>
  </si>
  <si>
    <t>CASH SALE</t>
  </si>
  <si>
    <t>CAVRAG TRANS LLC</t>
  </si>
  <si>
    <t>CE BUTTERS CONSTRUCTION</t>
  </si>
  <si>
    <t>CHANSHARE SOD FARMS</t>
  </si>
  <si>
    <t>CITY OF BOISE</t>
  </si>
  <si>
    <t>CITY OF BUHL</t>
  </si>
  <si>
    <t>CITY OF BURLEY</t>
  </si>
  <si>
    <t>CITY OF GOODING</t>
  </si>
  <si>
    <t>CITY OF MOUNTAIN HOME</t>
  </si>
  <si>
    <t>CITY OF NAMPA</t>
  </si>
  <si>
    <t>CJC TRUCKING LLC</t>
  </si>
  <si>
    <t>CLASSIC TRUCK LINES</t>
  </si>
  <si>
    <t>COLAIR INC</t>
  </si>
  <si>
    <t>CORE MARK INTERNATIONAL INC</t>
  </si>
  <si>
    <t>COUGHLIN COMPANY INC</t>
  </si>
  <si>
    <t>COWAN SYSTEMS</t>
  </si>
  <si>
    <t>CROWN TRUCKING LLC</t>
  </si>
  <si>
    <t>CUISINE UNLIMITED INC</t>
  </si>
  <si>
    <t>CULLIGAN WATER CONDITIONING</t>
  </si>
  <si>
    <t>D J TRUCK LEASING LLC</t>
  </si>
  <si>
    <t>DAILY DIRECT LLC</t>
  </si>
  <si>
    <t>DAL SOGLIO</t>
  </si>
  <si>
    <t>DAWS INC</t>
  </si>
  <si>
    <t>DEUTSCH TRUCKING</t>
  </si>
  <si>
    <t>DOUBLE J TRANSPORT LLC</t>
  </si>
  <si>
    <t>DOUG ANDRUS INC</t>
  </si>
  <si>
    <t>DRAKE FARMS TRUCKING INC</t>
  </si>
  <si>
    <t>DUANE MARTIN LIVESTOCK</t>
  </si>
  <si>
    <t>ED FRIESEN</t>
  </si>
  <si>
    <t>EDUTEK CORPORATION</t>
  </si>
  <si>
    <t>EMH TRANSPORTATION</t>
  </si>
  <si>
    <t>EVANS GRADER AND PAVING INC</t>
  </si>
  <si>
    <t>EXACTLY GROUP INC</t>
  </si>
  <si>
    <t>EXEL INC</t>
  </si>
  <si>
    <t>EZ II RENT TO OWN INC</t>
  </si>
  <si>
    <t>FADIGA TRUCKING</t>
  </si>
  <si>
    <t>FAST SHADOW TRUCKING LLC</t>
  </si>
  <si>
    <t>FAT DOG FOAM INC</t>
  </si>
  <si>
    <t>FRANDSEN TRANSPORT</t>
  </si>
  <si>
    <t>FREEDOM TRUCKING, LLC</t>
  </si>
  <si>
    <t>FRESENIUS MEDICAL CARE</t>
  </si>
  <si>
    <t>G &amp; P TRUCKING INC</t>
  </si>
  <si>
    <t>G P L TRUCKING INC</t>
  </si>
  <si>
    <t>GALE STORER INC</t>
  </si>
  <si>
    <t>GOVISION LP</t>
  </si>
  <si>
    <t>GRAND JUNCTION PETERBILT</t>
  </si>
  <si>
    <t>GRAND TRANSPORT</t>
  </si>
  <si>
    <t>GREAT DANE OF UTAH INC</t>
  </si>
  <si>
    <t>H &amp; B TRANSPORT</t>
  </si>
  <si>
    <t>HANCOCK &amp; NORTHWESTERN</t>
  </si>
  <si>
    <t>HIGH DESERT PYRO LLC</t>
  </si>
  <si>
    <t>HOLMAN TRANSPORTATION S</t>
  </si>
  <si>
    <t>IDAHO TRUCK COMPANY</t>
  </si>
  <si>
    <t>INTERMOUNTAIN POWER SERVICE</t>
  </si>
  <si>
    <t>INTERNATIONAL FULFILLMENT</t>
  </si>
  <si>
    <t>INTERNATIONAL ISOTOPES INC</t>
  </si>
  <si>
    <t>INTSEL STEEL WEST LLC</t>
  </si>
  <si>
    <t>ISAAC HOLDINGS INC</t>
  </si>
  <si>
    <t>J &amp; D ENTERPRISES INC</t>
  </si>
  <si>
    <t>J &amp; S EXPRESS</t>
  </si>
  <si>
    <t>JACK'S TIRE &amp; OIL</t>
  </si>
  <si>
    <t>JAMES H CLARK &amp; SON INC</t>
  </si>
  <si>
    <t>JBG FLEXIBLE LLC</t>
  </si>
  <si>
    <t>JD BOYD TRANSPORT LLC</t>
  </si>
  <si>
    <t>JIM WILKIN TRUCKING LLC</t>
  </si>
  <si>
    <t>JONES BROTHERS TRUCKING LLC</t>
  </si>
  <si>
    <t>KBC TRANSPORT LLC</t>
  </si>
  <si>
    <t>KEITH HENDRICKS TRUCKING LLC</t>
  </si>
  <si>
    <t>KELLERSTRASS ENTERPRISES INC</t>
  </si>
  <si>
    <t>KENWORTH PACLEASE</t>
  </si>
  <si>
    <t>KEVIN LAABS</t>
  </si>
  <si>
    <t>KILGORE COMPANIES</t>
  </si>
  <si>
    <t>KKW TRUCKING INC</t>
  </si>
  <si>
    <t>KOPF LEASING INC</t>
  </si>
  <si>
    <t>KRIS WAY TRUCK LEASING INC</t>
  </si>
  <si>
    <t>KUTZNER ELLIOTT TRUCKING</t>
  </si>
  <si>
    <t>LANGFORD ROOFING INC</t>
  </si>
  <si>
    <t>LARSEN TRANSPORTATION LLC</t>
  </si>
  <si>
    <t>LASER INDUSTRIAL CLEANING INC</t>
  </si>
  <si>
    <t>LAYTON CONSTRUCTION</t>
  </si>
  <si>
    <t xml:space="preserve">LECKINGTON EXPRESS </t>
  </si>
  <si>
    <t>LIBERTY TIRE RECYCLING LLC</t>
  </si>
  <si>
    <t>LITTLE MOO CATTLE</t>
  </si>
  <si>
    <t>LOAD N GO</t>
  </si>
  <si>
    <t>LOANSTAR LEASING INC</t>
  </si>
  <si>
    <t>LONGWALL WEST INC</t>
  </si>
  <si>
    <t>LUNA'S CONSTRUCTION CLEAN UP INC</t>
  </si>
  <si>
    <t>LW MILLER TRANSPORT</t>
  </si>
  <si>
    <t>M K S CONTRACTORS INC</t>
  </si>
  <si>
    <t>MACARTHUR CO DBA INSULATION DIST</t>
  </si>
  <si>
    <t>MASCARO ASPHALT EXPRESS</t>
  </si>
  <si>
    <t>MAVERIK INC</t>
  </si>
  <si>
    <t>MAY TRUCKING CO</t>
  </si>
  <si>
    <t>MCFARLAND FAMILY FARMS</t>
  </si>
  <si>
    <t>MIKE FROST TRUCKING INC</t>
  </si>
  <si>
    <t>MILE HI FOODS</t>
  </si>
  <si>
    <t>MILLARD COUNTY ROAD DEPT</t>
  </si>
  <si>
    <t>MILLER BROTHERS EXPRESS</t>
  </si>
  <si>
    <t>MOAB BREWERS LLC</t>
  </si>
  <si>
    <t>MODERN DISPLAY SERVICES</t>
  </si>
  <si>
    <t>MORMON TABERNACLE CHOIR</t>
  </si>
  <si>
    <t>MOUNTAIN CREST CABINET INC</t>
  </si>
  <si>
    <t>NARLI TRUCKING LLC</t>
  </si>
  <si>
    <t>NORTH AMERICAN TRAILER LLC</t>
  </si>
  <si>
    <t>OL GREG TRANSPORT</t>
  </si>
  <si>
    <t>ORBITAL A T K INC</t>
  </si>
  <si>
    <t>P T TRANSFER</t>
  </si>
  <si>
    <t>PACCAR TECH CENTER - P030</t>
  </si>
  <si>
    <t>PALMER VENTURES</t>
  </si>
  <si>
    <t>PAPA JOHNS SALADS AND PRODUCE</t>
  </si>
  <si>
    <t>PAUL TERRY TRUCKING</t>
  </si>
  <si>
    <t>PECZUH PRINTING CO</t>
  </si>
  <si>
    <t>PERSPECTIVES IMAGING</t>
  </si>
  <si>
    <t>PICARD - STEP SAVERS</t>
  </si>
  <si>
    <t>PILOT TRAVEL CENTERS</t>
  </si>
  <si>
    <t>PINEAE GREENHOUSE</t>
  </si>
  <si>
    <t>POLL SOUND</t>
  </si>
  <si>
    <t>POND CONCRETE CONSTRUCTION INC</t>
  </si>
  <si>
    <t>PREMIUM DISTRIBUTION</t>
  </si>
  <si>
    <t>PRICE CONTAINER &amp; PACKAGING CORP</t>
  </si>
  <si>
    <t>PRIDE TRANSPORT</t>
  </si>
  <si>
    <t>PURPLE SAGE TRUCKING</t>
  </si>
  <si>
    <t>R 3 TRUCKING LLC</t>
  </si>
  <si>
    <t>RAIL SCALE</t>
  </si>
  <si>
    <t>RED TRANSPORT</t>
  </si>
  <si>
    <t>REDDY ICE CORPORATION</t>
  </si>
  <si>
    <t>RELIABLE TRANSPORTATION INC</t>
  </si>
  <si>
    <t>RETZKO TRUCKING LLC</t>
  </si>
  <si>
    <t>RICHARDSON NURSERY</t>
  </si>
  <si>
    <t>RICHERS TRUCKING</t>
  </si>
  <si>
    <t>RIDLEYS FOOD CORPORATION</t>
  </si>
  <si>
    <t>RIGTRUP EGG FARM LLC</t>
  </si>
  <si>
    <t>ROCKY MOUNTAIN ACCESSORIES CENTER LLC</t>
  </si>
  <si>
    <t>ROCKY MOUNTAIN CHOCOLATE FACTORY</t>
  </si>
  <si>
    <t>ROCKY MOUNTAIN PIES</t>
  </si>
  <si>
    <t>ROCKY MOUNTAIN SUPPLY INC</t>
  </si>
  <si>
    <t>ROSALIO LLAMAS</t>
  </si>
  <si>
    <t>RTE SERVICES LLC</t>
  </si>
  <si>
    <t>RUSH TRUCK - PICO RIVERA</t>
  </si>
  <si>
    <t>SAT COM</t>
  </si>
  <si>
    <t>SCHAEFFER INDUSTRIES</t>
  </si>
  <si>
    <t>SCHULZ TRANSPORTATION</t>
  </si>
  <si>
    <t>SEARLE TRUCKING</t>
  </si>
  <si>
    <t>SERVICE PARTNERS LLC</t>
  </si>
  <si>
    <t>SEVIER VALLEY TRANSPORTATION LLC</t>
  </si>
  <si>
    <t>SINCLAIR TRUCKING CO</t>
  </si>
  <si>
    <t>SIX STATES DIST</t>
  </si>
  <si>
    <t>SNOWBIRD SKI &amp; SUMMER R</t>
  </si>
  <si>
    <t>SNOWY RIVER TRANSPORTATION</t>
  </si>
  <si>
    <t>SPEEDI EXPRESS LLC</t>
  </si>
  <si>
    <t>STERICYCLE ENVIRONMENTAL SOLUTIONS</t>
  </si>
  <si>
    <t>STERICYCLE INC</t>
  </si>
  <si>
    <t>STRAIGHTLINE TRENCHING INC</t>
  </si>
  <si>
    <t>STRICKLAND 7 FARMS LLC</t>
  </si>
  <si>
    <t>STROLLIN WEST LLC</t>
  </si>
  <si>
    <t>SWALLOW OIL CO</t>
  </si>
  <si>
    <t>SWIFT CENTRAL REFRIGERATED</t>
  </si>
  <si>
    <t>TILDEN TRANSPORT LLC</t>
  </si>
  <si>
    <t>TIMOTHY SHAW TRUCKING</t>
  </si>
  <si>
    <t>TOLBERT INTERNATIONAL</t>
  </si>
  <si>
    <t>TOM STUART CONSTRUCTION</t>
  </si>
  <si>
    <t>TOOELE BEVERAGE CO INC</t>
  </si>
  <si>
    <t>TRIPLE A TRUCKING LLC</t>
  </si>
  <si>
    <t>TSM TRANSPORTATION</t>
  </si>
  <si>
    <t>VANEERDEN TRUCKING INC</t>
  </si>
  <si>
    <t>VERACITY LOGISTICS LLC</t>
  </si>
  <si>
    <t>VITO TRUCKING LLC</t>
  </si>
  <si>
    <t>WADSWORTH BROTHERS CONS</t>
  </si>
  <si>
    <t>WALL STREET TRANSPORTATION</t>
  </si>
  <si>
    <t>WEBB AUDIO VISUAL</t>
  </si>
  <si>
    <t>WEBB INVESTMENTS INC</t>
  </si>
  <si>
    <t>WEBB TRUCKING LLC</t>
  </si>
  <si>
    <t>WESTERN PROVISIONS INC</t>
  </si>
  <si>
    <t>WINCO FOODS</t>
  </si>
  <si>
    <t>WOLFF TRANSPORTATION</t>
  </si>
  <si>
    <t>ZUECK TRANSPORTATION</t>
  </si>
  <si>
    <t>A M B TRANSPORT LLC</t>
  </si>
  <si>
    <t>DEPOSIT REQUIRED</t>
  </si>
  <si>
    <t>A MRAZEK MOVING</t>
  </si>
  <si>
    <t>NEED NEW CREDIT APPLICATION</t>
  </si>
  <si>
    <t>ADDEN TRANSIT LLC</t>
  </si>
  <si>
    <t>WILL NEED TO REVIEW CREDIT</t>
  </si>
  <si>
    <t>AFFILIATED METALS</t>
  </si>
  <si>
    <t>AGC GLASS COMPANY</t>
  </si>
  <si>
    <t>ALL PURPOSE WINDOWS</t>
  </si>
  <si>
    <t>ALPHA MOVING &amp; STORAGE</t>
  </si>
  <si>
    <t>B &amp; R CATTLE</t>
  </si>
  <si>
    <t>B T OIL</t>
  </si>
  <si>
    <t>BAILEYS HOLDING COMPANY</t>
  </si>
  <si>
    <t>BART LARSEN TRUCKING</t>
  </si>
  <si>
    <t>WILL NEED DEPOSIT AND NEW APP</t>
  </si>
  <si>
    <t>BDR TRANSPORT</t>
  </si>
  <si>
    <t>BIG JIM ENTERPRISES</t>
  </si>
  <si>
    <t>BIOGRASS SOD FARMS</t>
  </si>
  <si>
    <t>BUDRECK TRUCK LINES</t>
  </si>
  <si>
    <t>BUSHNELL</t>
  </si>
  <si>
    <t>WILL NEED DEPOSIT</t>
  </si>
  <si>
    <t>CARLSON DISTRIBUTING</t>
  </si>
  <si>
    <t>DANDY SERVICE CORP</t>
  </si>
  <si>
    <t>DAW CONSTRUCTION</t>
  </si>
  <si>
    <t>D G CONCRETE</t>
  </si>
  <si>
    <t>DIVEL SERVICES</t>
  </si>
  <si>
    <t>E R BALL TRUCKING</t>
  </si>
  <si>
    <t>FIDEL MENDOZA</t>
  </si>
  <si>
    <t>FOR SHOR COMPANY</t>
  </si>
  <si>
    <t>GELLINGS MOVING</t>
  </si>
  <si>
    <t>GEM STATE</t>
  </si>
  <si>
    <t>GO TRANSPORTATION</t>
  </si>
  <si>
    <t>BAD DEBT 2015</t>
  </si>
  <si>
    <t>GREAT SALT LAKE BRINE SHRIMP</t>
  </si>
  <si>
    <t>GUSTAVE A LARSON</t>
  </si>
  <si>
    <t>H &amp; K TRUCKING</t>
  </si>
  <si>
    <t>HONEYVILLE</t>
  </si>
  <si>
    <t>HYLINE NORTH AMERICA</t>
  </si>
  <si>
    <t>INTHINC TECH</t>
  </si>
  <si>
    <t>IOWA TANK LINES</t>
  </si>
  <si>
    <t>NEED PO AND NEW APPLICATION</t>
  </si>
  <si>
    <t>J R LAWRENCE INC</t>
  </si>
  <si>
    <t>KALE COMPANY</t>
  </si>
  <si>
    <t>KND TRUCKING INC</t>
  </si>
  <si>
    <t>LANTIS PRODUCTIONS</t>
  </si>
  <si>
    <t>LEGACY LANDSCAPE</t>
  </si>
  <si>
    <t>LONGWALL WEST</t>
  </si>
  <si>
    <t>LYNDEN TRANSPORT</t>
  </si>
  <si>
    <t>BAD DEBT 2013</t>
  </si>
  <si>
    <t>MARK D SANDRIDGE</t>
  </si>
  <si>
    <t>MOUNTAIN VIEW STAGING</t>
  </si>
  <si>
    <t>ONYX SOUND</t>
  </si>
  <si>
    <t>PENHALL COMPANY</t>
  </si>
  <si>
    <t>PROGRESS EXPRESS CORPORATION</t>
  </si>
  <si>
    <t>RIVERFRONT PRODUCE</t>
  </si>
  <si>
    <t>SAGE CORPORATION</t>
  </si>
  <si>
    <t>SANCREST</t>
  </si>
  <si>
    <t>SAVAGE SWEETS</t>
  </si>
  <si>
    <t>BAD DEBT 2014</t>
  </si>
  <si>
    <t>SCARECROW FARMS</t>
  </si>
  <si>
    <t>STOKES TRUCKING INC</t>
  </si>
  <si>
    <t>STTAK INDUSTRIES LLC</t>
  </si>
  <si>
    <t>T &amp; M TRUCKING</t>
  </si>
  <si>
    <t>TRANSFUELS LLC</t>
  </si>
  <si>
    <t>TRIPLE G TRUCKING</t>
  </si>
  <si>
    <t>TXM UTI</t>
  </si>
  <si>
    <t>VICTORY PACKAGING</t>
  </si>
  <si>
    <t>WESTPORT FUEL</t>
  </si>
  <si>
    <t>ZZZ SANITATION</t>
  </si>
  <si>
    <t>Vendor Name</t>
  </si>
  <si>
    <t>Location</t>
  </si>
  <si>
    <t>Current Rate</t>
  </si>
  <si>
    <t>PacLease Rate</t>
  </si>
  <si>
    <t>Salt Lake City</t>
  </si>
  <si>
    <t>Billings</t>
  </si>
  <si>
    <t>Boise</t>
  </si>
  <si>
    <t>Caldwell</t>
  </si>
  <si>
    <t>Casper</t>
  </si>
  <si>
    <t>Chehalis</t>
  </si>
  <si>
    <t>Cheyenne</t>
  </si>
  <si>
    <t>Columbia Falls</t>
  </si>
  <si>
    <t>Elko</t>
  </si>
  <si>
    <t>Grand junction</t>
  </si>
  <si>
    <t>Great Falls</t>
  </si>
  <si>
    <t>Idaho Falls</t>
  </si>
  <si>
    <t>Jerome</t>
  </si>
  <si>
    <t>Kelso</t>
  </si>
  <si>
    <t>Magic Valley</t>
  </si>
  <si>
    <t>Medford</t>
  </si>
  <si>
    <t>Missoula</t>
  </si>
  <si>
    <t>Ogden</t>
  </si>
  <si>
    <t>Ontario</t>
  </si>
  <si>
    <t>Pocatello</t>
  </si>
  <si>
    <t>Portland Basin</t>
  </si>
  <si>
    <t>Portland Lagoon</t>
  </si>
  <si>
    <t>Riverton</t>
  </si>
  <si>
    <t>Rock Springs</t>
  </si>
  <si>
    <t>Roseburg</t>
  </si>
  <si>
    <t>Salem</t>
  </si>
  <si>
    <t>Salina</t>
  </si>
  <si>
    <t>St George</t>
  </si>
  <si>
    <t>Troutdale</t>
  </si>
  <si>
    <t>Utah Valley</t>
  </si>
  <si>
    <t>Vernal</t>
  </si>
  <si>
    <t>Willamette Valley</t>
  </si>
  <si>
    <t>Lease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</si>
</sst>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\-??_);_(@_)"/>
    <numFmt numFmtId="165" formatCode="0.0%"/>
    <numFmt numFmtId="166" formatCode="mm/dd/yyyy"/>
  </numFmts>
  <fonts count="11" x14ac:knownFonts="1">
    <font>
      <sz val="11"/>
      <color theme="1"/>
      <name val="Calibri"/>
      <family val="2"/>
      <charset val="1"/>
    </font>
    <font>
      <b/>
      <sz val="11"/>
      <color theme="1"/>
      <name val="Calibri"/>
      <family val="2"/>
      <charset val="1"/>
    </font>
    <font>
      <u/>
      <sz val="11"/>
      <color theme="1"/>
      <name val="Calibri"/>
      <family val="2"/>
      <charset val="1"/>
    </font>
    <font>
      <sz val="11"/>
      <name val="Calibri"/>
      <family val="2"/>
      <charset val="1"/>
    </font>
    <font>
      <sz val="8"/>
      <color theme="1"/>
      <name val="Calibri"/>
      <family val="2"/>
      <charset val="1"/>
    </font>
    <font>
      <b/>
      <sz val="11"/>
      <color rgb="FF0000FF"/>
      <name val="Calibri"/>
      <family val="2"/>
      <charset val="1"/>
    </font>
    <font>
      <b/>
      <sz val="11"/>
      <color theme="9" tint="-0.249977111117893"/>
      <name val="Calibri"/>
      <family val="2"/>
      <charset val="1"/>
    </font>
    <font>
      <b/>
      <sz val="11"/>
      <color theme="7" tint="-0.499984740745262"/>
      <name val="Calibri"/>
      <family val="2"/>
      <charset val="1"/>
    </font>
    <font>
      <sz val="9"/>
      <color theme="1"/>
      <name val="Calibri"/>
      <family val="2"/>
      <charset val="1"/>
    </font>
    <font>
      <sz val="14"/>
      <color theme="1"/>
      <name val="Calibri"/>
      <family val="2"/>
      <charset val="1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rgb="FFF2F2F2"/>
      </patternFill>
    </fill>
    <fill>
      <patternFill patternType="solid">
        <fgColor theme="0" tint="-0.34998626667073579"/>
        <bgColor rgb="FFBFBFBF"/>
      </patternFill>
    </fill>
    <fill>
      <patternFill patternType="solid">
        <fgColor theme="0" tint="-0.249977111117893"/>
        <bgColor rgb="FFC9C9C9"/>
      </patternFill>
    </fill>
    <fill>
      <patternFill patternType="solid">
        <fgColor theme="0" tint="-0.499984740745262"/>
        <bgColor rgb="FF666699"/>
      </patternFill>
    </fill>
    <fill>
      <patternFill patternType="solid">
        <fgColor theme="6" tint="0.39988402966399123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theme="5" tint="0.59987182226020086"/>
        <bgColor rgb="FFF4B183"/>
      </patternFill>
    </fill>
    <fill>
      <patternFill patternType="solid">
        <fgColor theme="5" tint="0.39988402966399123"/>
        <bgColor rgb="FFF8CBAD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30">
    <xf numFmtId="0" fontId="0" fillId="0" borderId="0" xfId="0"/>
    <xf numFmtId="164" fontId="0" fillId="5" borderId="22" xfId="0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1" fillId="2" borderId="0" xfId="0" applyFont="1" applyFill="1"/>
    <xf numFmtId="0" fontId="0" fillId="4" borderId="0" xfId="0" applyFill="1"/>
    <xf numFmtId="0" fontId="0" fillId="3" borderId="1" xfId="0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>
      <alignment horizontal="left"/>
    </xf>
    <xf numFmtId="2" fontId="1" fillId="2" borderId="0" xfId="0" applyNumberFormat="1" applyFont="1" applyFill="1" applyAlignment="1">
      <alignment horizontal="left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0" fillId="2" borderId="9" xfId="0" applyFill="1" applyBorder="1" applyAlignment="1">
      <alignment horizontal="center" wrapText="1"/>
    </xf>
    <xf numFmtId="0" fontId="0" fillId="2" borderId="10" xfId="0" applyFill="1" applyBorder="1" applyAlignment="1">
      <alignment horizontal="center" wrapText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5" borderId="0" xfId="0" applyNumberFormat="1" applyFill="1"/>
    <xf numFmtId="164" fontId="0" fillId="5" borderId="14" xfId="0" applyNumberFormat="1" applyFill="1" applyBorder="1"/>
    <xf numFmtId="164" fontId="0" fillId="5" borderId="15" xfId="0" applyNumberFormat="1" applyFill="1" applyBorder="1"/>
    <xf numFmtId="164" fontId="0" fillId="6" borderId="3" xfId="0" applyNumberFormat="1" applyFill="1" applyBorder="1"/>
    <xf numFmtId="164" fontId="0" fillId="2" borderId="0" xfId="0" applyNumberFormat="1" applyFill="1"/>
    <xf numFmtId="164" fontId="0" fillId="5" borderId="16" xfId="0" applyNumberFormat="1" applyFill="1" applyBorder="1" applyAlignment="1">
      <alignment horizontal="center"/>
    </xf>
    <xf numFmtId="164" fontId="0" fillId="5" borderId="17" xfId="0" applyNumberFormat="1" applyFill="1" applyBorder="1" applyAlignment="1">
      <alignment horizontal="center"/>
    </xf>
    <xf numFmtId="164" fontId="0" fillId="5" borderId="18" xfId="0" applyNumberFormat="1" applyFill="1" applyBorder="1"/>
    <xf numFmtId="0" fontId="0" fillId="4" borderId="16" xfId="0" applyFill="1" applyBorder="1"/>
    <xf numFmtId="0" fontId="0" fillId="4" borderId="19" xfId="0" applyFill="1" applyBorder="1"/>
    <xf numFmtId="164" fontId="0" fillId="5" borderId="9" xfId="0" applyNumberFormat="1" applyFill="1" applyBorder="1"/>
    <xf numFmtId="164" fontId="0" fillId="5" borderId="10" xfId="0" applyNumberFormat="1" applyFill="1" applyBorder="1"/>
    <xf numFmtId="164" fontId="0" fillId="5" borderId="20" xfId="0" applyNumberFormat="1" applyFill="1" applyBorder="1"/>
    <xf numFmtId="164" fontId="0" fillId="6" borderId="21" xfId="0" applyNumberFormat="1" applyFill="1" applyBorder="1"/>
    <xf numFmtId="164" fontId="0" fillId="0" borderId="1" xfId="0" applyNumberFormat="1" applyBorder="1" applyProtection="1">
      <protection locked="0"/>
    </xf>
    <xf numFmtId="164" fontId="0" fillId="2" borderId="0" xfId="0" applyNumberFormat="1" applyFill="1" applyAlignment="1">
      <alignment horizontal="center"/>
    </xf>
    <xf numFmtId="9" fontId="0" fillId="2" borderId="2" xfId="0" applyNumberFormat="1" applyFill="1" applyBorder="1"/>
    <xf numFmtId="9" fontId="0" fillId="3" borderId="1" xfId="0" applyNumberFormat="1" applyFill="1" applyBorder="1" applyAlignment="1" applyProtection="1">
      <alignment horizontal="center" wrapText="1"/>
      <protection locked="0"/>
    </xf>
    <xf numFmtId="164" fontId="0" fillId="5" borderId="1" xfId="0" applyNumberFormat="1" applyFill="1" applyBorder="1" applyAlignment="1">
      <alignment wrapText="1"/>
    </xf>
    <xf numFmtId="9" fontId="0" fillId="4" borderId="22" xfId="0" applyNumberFormat="1" applyFill="1" applyBorder="1" applyAlignment="1">
      <alignment horizontal="center"/>
    </xf>
    <xf numFmtId="9" fontId="0" fillId="4" borderId="2" xfId="0" applyNumberFormat="1" applyFill="1" applyBorder="1" applyAlignment="1">
      <alignment horizontal="center"/>
    </xf>
    <xf numFmtId="164" fontId="0" fillId="5" borderId="6" xfId="0" applyNumberFormat="1" applyFill="1" applyBorder="1"/>
    <xf numFmtId="164" fontId="0" fillId="5" borderId="7" xfId="0" applyNumberFormat="1" applyFill="1" applyBorder="1"/>
    <xf numFmtId="164" fontId="0" fillId="6" borderId="23" xfId="0" applyNumberFormat="1" applyFill="1" applyBorder="1"/>
    <xf numFmtId="164" fontId="0" fillId="5" borderId="0" xfId="0" applyNumberFormat="1" applyFill="1" applyProtection="1">
      <protection locked="0"/>
    </xf>
    <xf numFmtId="9" fontId="0" fillId="2" borderId="0" xfId="0" applyNumberFormat="1" applyFill="1"/>
    <xf numFmtId="9" fontId="0" fillId="5" borderId="0" xfId="0" applyNumberFormat="1" applyFill="1" applyAlignment="1" applyProtection="1">
      <alignment horizontal="center" wrapText="1"/>
      <protection locked="0"/>
    </xf>
    <xf numFmtId="164" fontId="0" fillId="5" borderId="0" xfId="0" applyNumberFormat="1" applyFill="1" applyAlignment="1">
      <alignment wrapText="1"/>
    </xf>
    <xf numFmtId="164" fontId="0" fillId="5" borderId="12" xfId="0" applyNumberFormat="1" applyFill="1" applyBorder="1"/>
    <xf numFmtId="9" fontId="0" fillId="4" borderId="24" xfId="0" applyNumberFormat="1" applyFill="1" applyBorder="1" applyAlignment="1">
      <alignment horizontal="center"/>
    </xf>
    <xf numFmtId="164" fontId="5" fillId="5" borderId="17" xfId="0" applyNumberFormat="1" applyFont="1" applyFill="1" applyBorder="1"/>
    <xf numFmtId="164" fontId="5" fillId="5" borderId="25" xfId="0" applyNumberFormat="1" applyFont="1" applyFill="1" applyBorder="1"/>
    <xf numFmtId="164" fontId="0" fillId="5" borderId="1" xfId="0" applyNumberFormat="1" applyFill="1" applyBorder="1"/>
    <xf numFmtId="164" fontId="5" fillId="5" borderId="21" xfId="0" applyNumberFormat="1" applyFont="1" applyFill="1" applyBorder="1"/>
    <xf numFmtId="164" fontId="1" fillId="5" borderId="22" xfId="0" applyNumberFormat="1" applyFont="1" applyFill="1" applyBorder="1" applyAlignment="1">
      <alignment horizontal="right"/>
    </xf>
    <xf numFmtId="164" fontId="5" fillId="5" borderId="26" xfId="0" applyNumberFormat="1" applyFont="1" applyFill="1" applyBorder="1"/>
    <xf numFmtId="164" fontId="0" fillId="4" borderId="24" xfId="0" applyNumberFormat="1" applyFill="1" applyBorder="1"/>
    <xf numFmtId="165" fontId="0" fillId="4" borderId="23" xfId="0" applyNumberFormat="1" applyFill="1" applyBorder="1" applyAlignment="1">
      <alignment horizontal="center"/>
    </xf>
    <xf numFmtId="164" fontId="6" fillId="2" borderId="1" xfId="0" applyNumberFormat="1" applyFont="1" applyFill="1" applyBorder="1" applyAlignment="1">
      <alignment horizontal="center"/>
    </xf>
    <xf numFmtId="164" fontId="7" fillId="2" borderId="1" xfId="0" applyNumberFormat="1" applyFont="1" applyFill="1" applyBorder="1" applyAlignment="1">
      <alignment horizontal="center"/>
    </xf>
    <xf numFmtId="164" fontId="5" fillId="6" borderId="0" xfId="0" applyNumberFormat="1" applyFont="1" applyFill="1"/>
    <xf numFmtId="164" fontId="5" fillId="6" borderId="2" xfId="0" applyNumberFormat="1" applyFont="1" applyFill="1" applyBorder="1"/>
    <xf numFmtId="164" fontId="6" fillId="2" borderId="3" xfId="0" applyNumberFormat="1" applyFont="1" applyFill="1" applyBorder="1" applyAlignment="1">
      <alignment horizontal="center"/>
    </xf>
    <xf numFmtId="164" fontId="7" fillId="2" borderId="21" xfId="0" applyNumberFormat="1" applyFont="1" applyFill="1" applyBorder="1" applyAlignment="1">
      <alignment horizontal="center"/>
    </xf>
    <xf numFmtId="164" fontId="7" fillId="2" borderId="3" xfId="0" applyNumberFormat="1" applyFont="1" applyFill="1" applyBorder="1" applyAlignment="1">
      <alignment horizontal="center"/>
    </xf>
    <xf numFmtId="0" fontId="0" fillId="2" borderId="27" xfId="0" applyFill="1" applyBorder="1"/>
    <xf numFmtId="164" fontId="5" fillId="6" borderId="9" xfId="0" applyNumberFormat="1" applyFont="1" applyFill="1" applyBorder="1"/>
    <xf numFmtId="164" fontId="5" fillId="6" borderId="24" xfId="0" applyNumberFormat="1" applyFont="1" applyFill="1" applyBorder="1"/>
    <xf numFmtId="0" fontId="0" fillId="2" borderId="27" xfId="0" applyFill="1" applyBorder="1" applyProtection="1">
      <protection locked="0"/>
    </xf>
    <xf numFmtId="164" fontId="6" fillId="2" borderId="28" xfId="0" applyNumberFormat="1" applyFont="1" applyFill="1" applyBorder="1" applyAlignment="1">
      <alignment horizontal="center"/>
    </xf>
    <xf numFmtId="164" fontId="7" fillId="2" borderId="28" xfId="0" applyNumberFormat="1" applyFont="1" applyFill="1" applyBorder="1" applyAlignment="1">
      <alignment horizontal="center"/>
    </xf>
    <xf numFmtId="0" fontId="0" fillId="0" borderId="27" xfId="0" applyBorder="1"/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9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0" fillId="6" borderId="0" xfId="0" applyFill="1"/>
    <xf numFmtId="0" fontId="1" fillId="2" borderId="9" xfId="0" applyFont="1" applyFill="1" applyBorder="1" applyAlignment="1">
      <alignment horizontal="center"/>
    </xf>
    <xf numFmtId="0" fontId="1" fillId="2" borderId="30" xfId="0" applyFont="1" applyFill="1" applyBorder="1" applyAlignment="1">
      <alignment horizontal="center"/>
    </xf>
    <xf numFmtId="0" fontId="1" fillId="2" borderId="31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8" fillId="3" borderId="11" xfId="0" applyFont="1" applyFill="1" applyBorder="1" applyAlignment="1" applyProtection="1">
      <alignment horizontal="center" wrapText="1"/>
      <protection locked="0"/>
    </xf>
    <xf numFmtId="0" fontId="0" fillId="4" borderId="17" xfId="0" applyFill="1" applyBorder="1"/>
    <xf numFmtId="164" fontId="0" fillId="5" borderId="11" xfId="0" applyNumberFormat="1" applyFill="1" applyBorder="1"/>
    <xf numFmtId="164" fontId="0" fillId="5" borderId="3" xfId="0" applyNumberFormat="1" applyFill="1" applyBorder="1" applyAlignment="1">
      <alignment wrapText="1"/>
    </xf>
    <xf numFmtId="9" fontId="0" fillId="4" borderId="33" xfId="0" applyNumberFormat="1" applyFill="1" applyBorder="1" applyAlignment="1">
      <alignment horizontal="center"/>
    </xf>
    <xf numFmtId="164" fontId="5" fillId="5" borderId="6" xfId="0" applyNumberFormat="1" applyFont="1" applyFill="1" applyBorder="1"/>
    <xf numFmtId="164" fontId="5" fillId="5" borderId="34" xfId="0" applyNumberFormat="1" applyFont="1" applyFill="1" applyBorder="1"/>
    <xf numFmtId="164" fontId="5" fillId="5" borderId="35" xfId="0" applyNumberFormat="1" applyFont="1" applyFill="1" applyBorder="1"/>
    <xf numFmtId="164" fontId="5" fillId="5" borderId="23" xfId="0" applyNumberFormat="1" applyFont="1" applyFill="1" applyBorder="1"/>
    <xf numFmtId="164" fontId="1" fillId="5" borderId="33" xfId="0" applyNumberFormat="1" applyFont="1" applyFill="1" applyBorder="1" applyAlignment="1">
      <alignment horizontal="right"/>
    </xf>
    <xf numFmtId="164" fontId="0" fillId="2" borderId="27" xfId="0" applyNumberFormat="1" applyFill="1" applyBorder="1"/>
    <xf numFmtId="164" fontId="6" fillId="2" borderId="36" xfId="0" applyNumberFormat="1" applyFont="1" applyFill="1" applyBorder="1" applyAlignment="1">
      <alignment horizontal="center"/>
    </xf>
    <xf numFmtId="164" fontId="7" fillId="2" borderId="36" xfId="0" applyNumberFormat="1" applyFont="1" applyFill="1" applyBorder="1" applyAlignment="1">
      <alignment horizontal="center"/>
    </xf>
    <xf numFmtId="14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14" fontId="0" fillId="8" borderId="0" xfId="0" applyNumberFormat="1" applyFill="1"/>
    <xf numFmtId="166" fontId="0" fillId="7" borderId="0" xfId="0" applyNumberFormat="1" applyFill="1"/>
    <xf numFmtId="166" fontId="0" fillId="8" borderId="0" xfId="0" applyNumberFormat="1" applyFill="1"/>
    <xf numFmtId="166" fontId="0" fillId="9" borderId="0" xfId="0" applyNumberFormat="1" applyFill="1"/>
    <xf numFmtId="0" fontId="0" fillId="10" borderId="0" xfId="0" applyFill="1"/>
    <xf numFmtId="166" fontId="0" fillId="10" borderId="0" xfId="0" applyNumberFormat="1" applyFill="1"/>
    <xf numFmtId="0" fontId="3" fillId="9" borderId="0" xfId="0" applyFont="1" applyFill="1"/>
    <xf numFmtId="166" fontId="3" fillId="9" borderId="0" xfId="0" applyNumberFormat="1" applyFont="1" applyFill="1"/>
    <xf numFmtId="0" fontId="3" fillId="7" borderId="0" xfId="0" applyFont="1" applyFill="1"/>
    <xf numFmtId="166" fontId="3" fillId="7" borderId="0" xfId="0" applyNumberFormat="1" applyFont="1" applyFill="1"/>
    <xf numFmtId="0" fontId="0" fillId="0" borderId="0" xfId="0" applyAlignment="1">
      <alignment wrapText="1"/>
    </xf>
    <xf numFmtId="0" fontId="0" fillId="8" borderId="0" xfId="0" applyFill="1" applyAlignment="1">
      <alignment wrapText="1"/>
    </xf>
    <xf numFmtId="166" fontId="0" fillId="8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166" fontId="0" fillId="7" borderId="0" xfId="0" applyNumberFormat="1" applyFill="1" applyAlignment="1">
      <alignment wrapText="1"/>
    </xf>
    <xf numFmtId="0" fontId="9" fillId="9" borderId="0" xfId="0" applyFont="1" applyFill="1"/>
    <xf numFmtId="14" fontId="0" fillId="9" borderId="0" xfId="0" applyNumberFormat="1" applyFill="1"/>
    <xf numFmtId="164" fontId="0" fillId="5" borderId="13" xfId="0" applyNumberFormat="1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164" fontId="0" fillId="5" borderId="22" xfId="0" applyNumberFormat="1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left"/>
    </xf>
    <xf numFmtId="0" fontId="0" fillId="3" borderId="1" xfId="0" applyFill="1" applyBorder="1" applyAlignment="1" applyProtection="1">
      <alignment horizontal="center" wrapText="1"/>
      <protection locked="0"/>
    </xf>
    <xf numFmtId="0" fontId="4" fillId="2" borderId="1" xfId="0" applyFont="1" applyFill="1" applyBorder="1" applyAlignment="1">
      <alignment horizontal="center" vertical="center" textRotation="90" wrapText="1"/>
    </xf>
    <xf numFmtId="0" fontId="0" fillId="0" borderId="3" xfId="0" applyBorder="1" applyAlignment="1" applyProtection="1">
      <alignment horizontal="left" vertical="top" wrapText="1"/>
      <protection locked="0"/>
    </xf>
    <xf numFmtId="0" fontId="1" fillId="2" borderId="4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3" fillId="3" borderId="1" xfId="0" applyFont="1" applyFill="1" applyBorder="1" applyAlignment="1" applyProtection="1">
      <alignment horizontal="center" wrapText="1"/>
      <protection locked="0"/>
    </xf>
    <xf numFmtId="14" fontId="3" fillId="3" borderId="1" xfId="0" applyNumberFormat="1" applyFont="1" applyFill="1" applyBorder="1" applyAlignment="1" applyProtection="1">
      <alignment horizontal="center" wrapText="1"/>
      <protection locked="0"/>
    </xf>
    <xf numFmtId="0" fontId="0" fillId="2" borderId="0" xfId="0" applyFill="1" applyAlignment="1">
      <alignment horizontal="center"/>
    </xf>
    <xf numFmtId="0" fontId="1" fillId="2" borderId="29" xfId="0" applyFont="1" applyFill="1" applyBorder="1" applyAlignment="1">
      <alignment horizontal="center"/>
    </xf>
  </cellXfs>
  <cellStyles count="1">
    <cellStyle name="Normal" xfId="0" builtinId="0"/>
  </cellStyles>
  <dxfs count="42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808080"/>
      </font>
    </dxf>
    <dxf>
      <font>
        <color rgb="FF808080"/>
      </font>
      <fill>
        <patternFill>
          <bgColor rgb="FF000000"/>
        </patternFill>
      </fill>
    </dxf>
    <dxf>
      <font>
        <b/>
      </font>
      <fill>
        <patternFill>
          <bgColor theme="4" tint="0.59987182226020086"/>
        </patternFill>
      </fill>
    </dxf>
    <dxf>
      <font>
        <b/>
      </font>
      <fill>
        <patternFill>
          <bgColor theme="9" tint="0.59987182226020086"/>
        </patternFill>
      </fill>
    </dxf>
    <dxf>
      <fill>
        <patternFill>
          <bgColor theme="4" tint="0.59987182226020086"/>
        </patternFill>
      </fill>
    </dxf>
    <dxf>
      <fill>
        <patternFill>
          <bgColor theme="9" tint="0.59987182226020086"/>
        </patternFill>
      </fill>
    </dxf>
    <dxf>
      <font>
        <color rgb="FF808080"/>
      </font>
      <fill>
        <patternFill>
          <bgColor theme="0"/>
        </patternFill>
      </fill>
    </dxf>
    <dxf>
      <font>
        <color rgb="FF808080"/>
      </font>
    </dxf>
    <dxf>
      <font>
        <color rgb="FF80808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808080"/>
      </font>
    </dxf>
    <dxf>
      <font>
        <b/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808080"/>
      </font>
    </dxf>
    <dxf>
      <font>
        <color rgb="FF808080"/>
      </font>
      <fill>
        <patternFill>
          <bgColor rgb="FF000000"/>
        </patternFill>
      </fill>
    </dxf>
    <dxf>
      <font>
        <b/>
      </font>
      <fill>
        <patternFill>
          <bgColor theme="4" tint="0.59987182226020086"/>
        </patternFill>
      </fill>
    </dxf>
    <dxf>
      <font>
        <b/>
      </font>
      <fill>
        <patternFill>
          <bgColor theme="9" tint="0.59987182226020086"/>
        </patternFill>
      </fill>
    </dxf>
    <dxf>
      <fill>
        <patternFill>
          <bgColor theme="4" tint="0.59987182226020086"/>
        </patternFill>
      </fill>
    </dxf>
    <dxf>
      <fill>
        <patternFill>
          <bgColor theme="9" tint="0.59987182226020086"/>
        </patternFill>
      </fill>
    </dxf>
    <dxf>
      <font>
        <color rgb="FF808080"/>
      </font>
      <fill>
        <patternFill>
          <bgColor theme="0"/>
        </patternFill>
      </fill>
    </dxf>
    <dxf>
      <font>
        <color rgb="FF808080"/>
      </font>
    </dxf>
    <dxf>
      <font>
        <color rgb="FF80808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808080"/>
      </font>
    </dxf>
    <dxf>
      <font>
        <b/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808080"/>
      </font>
    </dxf>
    <dxf>
      <fill>
        <patternFill>
          <bgColor theme="4" tint="0.59987182226020086"/>
        </patternFill>
      </fill>
    </dxf>
    <dxf>
      <fill>
        <patternFill>
          <bgColor theme="9" tint="0.59987182226020086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6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5E0B4"/>
      <rgbColor rgb="FFFFFF99"/>
      <rgbColor rgb="FFC9C9C9"/>
      <rgbColor rgb="FFF4B183"/>
      <rgbColor rgb="FFCC99FF"/>
      <rgbColor rgb="FFF8CBAD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3366"/>
      <rgbColor rgb="FF548235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142875</xdr:colOff>
          <xdr:row>1</xdr:row>
          <xdr:rowOff>142875</xdr:rowOff>
        </xdr:from>
        <xdr:to>
          <xdr:col>11</xdr:col>
          <xdr:colOff>476250</xdr:colOff>
          <xdr:row>4</xdr:row>
          <xdr:rowOff>38100</xdr:rowOff>
        </xdr:to>
        <xdr:sp macro="" textlink="">
          <xdr:nvSpPr>
            <xdr:cNvPr id="1001" name="Button 6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0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Form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1</xdr:row>
          <xdr:rowOff>142875</xdr:rowOff>
        </xdr:from>
        <xdr:to>
          <xdr:col>20</xdr:col>
          <xdr:colOff>476250</xdr:colOff>
          <xdr:row>4</xdr:row>
          <xdr:rowOff>38100</xdr:rowOff>
        </xdr:to>
        <xdr:sp macro="" textlink="">
          <xdr:nvSpPr>
            <xdr:cNvPr id="2050" name="Button 1" descr="Reset For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1</xdr:row>
          <xdr:rowOff>142875</xdr:rowOff>
        </xdr:from>
        <xdr:to>
          <xdr:col>20</xdr:col>
          <xdr:colOff>476250</xdr:colOff>
          <xdr:row>4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Form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DA728"/>
  <sheetViews>
    <sheetView tabSelected="1" zoomScale="72" zoomScaleNormal="100" workbookViewId="0">
      <selection activeCell="Q1" sqref="Q1:S1"/>
    </sheetView>
  </sheetViews>
  <sheetFormatPr defaultColWidth="8.85546875" defaultRowHeight="15" x14ac:dyDescent="0.25"/>
  <cols>
    <col min="1" max="1" width="11.42578125" style="3" customWidth="1"/>
    <col min="2" max="3" width="10.5703125" customWidth="1"/>
    <col min="4" max="4" width="9.42578125" customWidth="1"/>
    <col min="5" max="5" width="9.5703125" customWidth="1"/>
    <col min="6" max="7" width="9" customWidth="1"/>
    <col min="8" max="8" width="16.7109375" customWidth="1"/>
    <col min="9" max="9" width="17" style="3" customWidth="1"/>
    <col min="10" max="10" width="10.28515625" style="3" customWidth="1"/>
    <col min="11" max="11" width="10.5703125" style="3" customWidth="1"/>
    <col min="12" max="12" width="10.7109375" style="3" customWidth="1"/>
    <col min="13" max="13" width="11.85546875" style="3" customWidth="1"/>
    <col min="14" max="14" width="7.5703125" customWidth="1"/>
    <col min="15" max="15" width="11.28515625" customWidth="1"/>
    <col min="16" max="16" width="10.85546875" customWidth="1"/>
    <col min="17" max="17" width="10.5703125" customWidth="1"/>
    <col min="18" max="18" width="11.140625" customWidth="1"/>
    <col min="19" max="19" width="10.5703125" style="3" customWidth="1"/>
    <col min="20" max="16384" width="8.85546875" style="3"/>
  </cols>
  <sheetData>
    <row r="1" spans="1:105" ht="15" customHeight="1" x14ac:dyDescent="0.25">
      <c r="B1" s="4" t="s">
        <v>0</v>
      </c>
      <c r="C1" s="5"/>
      <c r="D1" s="121"/>
      <c r="E1" s="121"/>
      <c r="F1" s="121"/>
      <c r="G1" s="5"/>
      <c r="H1" s="5"/>
      <c r="I1" s="6" t="s">
        <v>2</v>
      </c>
      <c r="J1" s="5"/>
      <c r="K1" s="5"/>
      <c r="L1" s="5"/>
      <c r="M1" s="5"/>
      <c r="N1" s="3"/>
      <c r="O1" s="7" t="s">
        <v>1</v>
      </c>
      <c r="P1" s="3"/>
      <c r="Q1" s="121"/>
      <c r="R1" s="121"/>
      <c r="S1" s="121"/>
    </row>
    <row r="2" spans="1:105" ht="15" customHeight="1" x14ac:dyDescent="0.25">
      <c r="B2" s="120" t="s">
        <v>3</v>
      </c>
      <c r="C2" s="120"/>
      <c r="D2" s="126"/>
      <c r="E2" s="126"/>
      <c r="F2" s="126"/>
      <c r="G2" s="5"/>
      <c r="H2" s="5"/>
      <c r="I2" s="2" t="s">
        <v>5</v>
      </c>
      <c r="J2" s="5"/>
      <c r="K2" s="8"/>
      <c r="L2" s="8"/>
      <c r="M2" s="5"/>
      <c r="N2" s="3"/>
      <c r="O2" s="7" t="s">
        <v>6</v>
      </c>
      <c r="P2" s="3"/>
      <c r="Q2" s="9" t="s">
        <v>7</v>
      </c>
      <c r="R2" s="3"/>
    </row>
    <row r="3" spans="1:105" ht="15" customHeight="1" x14ac:dyDescent="0.25">
      <c r="B3" s="4" t="s">
        <v>8</v>
      </c>
      <c r="C3" s="5"/>
      <c r="D3" s="127"/>
      <c r="E3" s="127"/>
      <c r="F3" s="127"/>
      <c r="G3" s="5"/>
      <c r="H3" s="5"/>
      <c r="I3" s="10">
        <f>B9+B14</f>
        <v>0</v>
      </c>
      <c r="J3" s="11"/>
      <c r="K3" s="8"/>
      <c r="L3" s="8"/>
      <c r="M3" s="5"/>
      <c r="N3" s="3"/>
      <c r="O3" s="128" t="str">
        <f>IFERROR(IF(VLOOKUP(Q1,'Paclease Customers 081919'!$C$2:$E$214,3,FALSE())="YES","THIS VENDOR REQUIRES A P.O. NUMBER",""),"")</f>
        <v/>
      </c>
      <c r="P3" s="128"/>
      <c r="Q3" s="128"/>
      <c r="R3" s="128"/>
      <c r="S3" s="128"/>
    </row>
    <row r="4" spans="1:105" ht="14.25" customHeight="1" x14ac:dyDescent="0.25">
      <c r="B4" s="120" t="s">
        <v>9</v>
      </c>
      <c r="C4" s="120"/>
      <c r="D4" s="121" t="s">
        <v>630</v>
      </c>
      <c r="E4" s="121"/>
      <c r="F4" s="121"/>
      <c r="G4" s="5"/>
      <c r="H4" s="5"/>
      <c r="I4" s="5"/>
      <c r="J4" s="5"/>
      <c r="K4" s="8"/>
      <c r="L4" s="8"/>
      <c r="M4" s="5"/>
      <c r="N4" s="122" t="s">
        <v>11</v>
      </c>
      <c r="O4" s="123"/>
      <c r="P4" s="123"/>
      <c r="Q4" s="123"/>
      <c r="R4" s="123"/>
      <c r="S4" s="123"/>
    </row>
    <row r="5" spans="1:105" ht="15" customHeight="1" x14ac:dyDescent="0.25">
      <c r="B5" s="5"/>
      <c r="C5" s="5"/>
      <c r="D5" s="5"/>
      <c r="E5" s="5"/>
      <c r="F5" s="5"/>
      <c r="G5" s="5"/>
      <c r="H5" s="5"/>
      <c r="I5" s="5"/>
      <c r="J5" s="5"/>
      <c r="K5" s="8"/>
      <c r="L5" s="8"/>
      <c r="M5" s="5"/>
      <c r="N5" s="122"/>
      <c r="O5" s="123"/>
      <c r="P5" s="123"/>
      <c r="Q5" s="123"/>
      <c r="R5" s="123"/>
      <c r="S5" s="123"/>
    </row>
    <row r="6" spans="1:105" ht="15" customHeight="1" x14ac:dyDescent="0.25">
      <c r="B6" s="124" t="str">
        <f>IF(D4="Lease","578040",IF(D4="Rental","578240",""))</f>
        <v>578040</v>
      </c>
      <c r="C6" s="124"/>
      <c r="D6" s="12" t="str">
        <f>IF($D$4="Lease","594040",IF($D$4="Rental","594140",""))</f>
        <v>594040</v>
      </c>
      <c r="E6" s="13" t="str">
        <f>IF($D$4="Lease","594240",IF($D$4="Rental","594340",""))</f>
        <v>594240</v>
      </c>
      <c r="F6" s="13" t="str">
        <f>IF($D$4="Lease","594440",IF($D$4="Rental","594540",""))</f>
        <v>594440</v>
      </c>
      <c r="G6" s="13" t="str">
        <f>IF($D$4="Lease","594640",IF($D$4="Rental","594740",""))</f>
        <v>594640</v>
      </c>
      <c r="H6" s="13" t="str">
        <f>IF(OR(H7="",H7="SELECT OTHER ACCOUNT"),"",VLOOKUP(H7,Keys!$A$18:$B$32,2,FALSE()))</f>
        <v/>
      </c>
      <c r="I6" s="14" t="str">
        <f>IF(OR(I7="",I7="IF SALES TAX, WHAT STATE?",I7=" ",I7="IF OTHER, LEAVE BLANK"),"",VLOOKUP(I7,Keys!D17:E22,2,FALSE()))</f>
        <v/>
      </c>
      <c r="N6" s="122"/>
      <c r="O6" s="123"/>
      <c r="P6" s="123"/>
      <c r="Q6" s="123"/>
      <c r="R6" s="123"/>
      <c r="S6" s="123"/>
    </row>
    <row r="7" spans="1:105" ht="30" customHeight="1" x14ac:dyDescent="0.25">
      <c r="B7" s="125" t="s">
        <v>12</v>
      </c>
      <c r="C7" s="125"/>
      <c r="D7" s="15" t="s">
        <v>13</v>
      </c>
      <c r="E7" s="16" t="s">
        <v>14</v>
      </c>
      <c r="F7" s="16" t="s">
        <v>15</v>
      </c>
      <c r="G7" s="16" t="s">
        <v>16</v>
      </c>
      <c r="H7" s="17" t="s">
        <v>17</v>
      </c>
      <c r="I7" s="18" t="s">
        <v>18</v>
      </c>
      <c r="N7" s="122"/>
      <c r="O7" s="123"/>
      <c r="P7" s="123"/>
      <c r="Q7" s="123"/>
      <c r="R7" s="123"/>
      <c r="S7" s="123"/>
    </row>
    <row r="8" spans="1:105" ht="15" customHeight="1" x14ac:dyDescent="0.25">
      <c r="B8" s="115">
        <f>SUM(B15:C1048576)</f>
        <v>0</v>
      </c>
      <c r="C8" s="115"/>
      <c r="D8" s="19">
        <f>SUM(D15:D1048576)</f>
        <v>0</v>
      </c>
      <c r="E8" s="20">
        <f>SUM(E15:E1048576)</f>
        <v>0</v>
      </c>
      <c r="F8" s="20">
        <f>SUM(F15:F1048576)</f>
        <v>0</v>
      </c>
      <c r="G8" s="20">
        <f>SUM(G15:G1048576)</f>
        <v>0</v>
      </c>
      <c r="H8" s="21">
        <f>SUM(H15:H1048576)</f>
        <v>0</v>
      </c>
      <c r="I8" s="22"/>
      <c r="J8" s="23"/>
      <c r="K8" s="19">
        <f>SUM(B8:I8)</f>
        <v>0</v>
      </c>
      <c r="L8" s="23"/>
      <c r="M8" s="23"/>
      <c r="N8" s="3"/>
      <c r="O8" s="24"/>
      <c r="P8" s="25"/>
      <c r="Q8" s="26">
        <f>SUM($P$15:$P$1048576,$S$15:$S$1048576)</f>
        <v>0</v>
      </c>
      <c r="R8" s="27"/>
      <c r="S8" s="28"/>
    </row>
    <row r="9" spans="1:105" ht="15" customHeight="1" x14ac:dyDescent="0.25">
      <c r="B9" s="116">
        <f>IFERROR(B8/$K$8*$K$9,0)</f>
        <v>0</v>
      </c>
      <c r="C9" s="116"/>
      <c r="D9" s="29">
        <f>IFERROR(D8/$K$8*$K$9,0)</f>
        <v>0</v>
      </c>
      <c r="E9" s="30">
        <f>IFERROR(E8/$K$8*$K$9,0)</f>
        <v>0</v>
      </c>
      <c r="F9" s="30">
        <f>IFERROR(F8/$K$8*$K$9,0)</f>
        <v>0</v>
      </c>
      <c r="G9" s="30">
        <f>IFERROR(G8/$K$8*$K$9,0)</f>
        <v>0</v>
      </c>
      <c r="H9" s="31">
        <f>IFERROR(H8/$K$8*$K$9,0)</f>
        <v>0</v>
      </c>
      <c r="I9" s="32"/>
      <c r="J9" s="23" t="s">
        <v>19</v>
      </c>
      <c r="K9" s="33"/>
      <c r="L9" s="34"/>
      <c r="M9" s="23"/>
      <c r="N9" s="35"/>
      <c r="O9" s="1" t="s">
        <v>20</v>
      </c>
      <c r="P9" s="36">
        <v>0.2</v>
      </c>
      <c r="Q9" s="37">
        <f>B9*(1+P9)</f>
        <v>0</v>
      </c>
      <c r="R9" s="38"/>
      <c r="S9" s="39"/>
    </row>
    <row r="10" spans="1:105" ht="15" customHeight="1" x14ac:dyDescent="0.25">
      <c r="B10" s="117">
        <f>SUM(B8:C9)</f>
        <v>0</v>
      </c>
      <c r="C10" s="117"/>
      <c r="D10" s="40">
        <f>SUM(D8:D9)</f>
        <v>0</v>
      </c>
      <c r="E10" s="40">
        <f>SUM(E8:E9)</f>
        <v>0</v>
      </c>
      <c r="F10" s="40">
        <f>SUM(F8:F9)</f>
        <v>0</v>
      </c>
      <c r="G10" s="40">
        <f>SUM(G8:G9)</f>
        <v>0</v>
      </c>
      <c r="H10" s="41">
        <f>SUM(H8:H9)</f>
        <v>0</v>
      </c>
      <c r="I10" s="42"/>
      <c r="J10" s="23" t="s">
        <v>21</v>
      </c>
      <c r="K10" s="43">
        <f>K8+K9</f>
        <v>0</v>
      </c>
      <c r="L10" s="34"/>
      <c r="M10" s="23"/>
      <c r="N10" s="44"/>
      <c r="O10" s="1"/>
      <c r="P10" s="45"/>
      <c r="Q10" s="46"/>
      <c r="R10" s="38"/>
      <c r="S10" s="39"/>
    </row>
    <row r="11" spans="1:105" ht="15.75" customHeight="1" x14ac:dyDescent="0.25">
      <c r="B11" s="118"/>
      <c r="C11" s="118"/>
      <c r="D11" s="19">
        <f>IFERROR(D10/$K$10*$K$11,0)</f>
        <v>0</v>
      </c>
      <c r="E11" s="19">
        <f>IFERROR(E10/$K$10*$K$11,0)</f>
        <v>0</v>
      </c>
      <c r="F11" s="19">
        <f>IFERROR(F10/$K$10*$K$11,0)</f>
        <v>0</v>
      </c>
      <c r="G11" s="19">
        <f>IFERROR(G10/$K$10*$K$11,0)</f>
        <v>0</v>
      </c>
      <c r="H11" s="19">
        <f>IFERROR(H10/$K$10*$K$11,0)</f>
        <v>0</v>
      </c>
      <c r="I11" s="47">
        <f>IFERROR($B$10/$K$10*$K$11,0)</f>
        <v>0</v>
      </c>
      <c r="J11" s="23" t="s">
        <v>22</v>
      </c>
      <c r="K11" s="33"/>
      <c r="L11" s="34" t="s">
        <v>23</v>
      </c>
      <c r="M11" s="23" t="s">
        <v>24</v>
      </c>
      <c r="N11" s="44"/>
      <c r="O11" s="1"/>
      <c r="P11" s="45"/>
      <c r="Q11" s="46"/>
      <c r="R11" s="38" t="s">
        <v>25</v>
      </c>
      <c r="S11" s="48" t="s">
        <v>26</v>
      </c>
    </row>
    <row r="12" spans="1:105" ht="15.75" customHeight="1" x14ac:dyDescent="0.25">
      <c r="A12" s="3" t="s">
        <v>27</v>
      </c>
      <c r="B12" s="119">
        <f>SUM(B10:C11)</f>
        <v>0</v>
      </c>
      <c r="C12" s="119"/>
      <c r="D12" s="49">
        <f>SUM(D10:D11)</f>
        <v>0</v>
      </c>
      <c r="E12" s="49">
        <f>SUM(E10:E11)</f>
        <v>0</v>
      </c>
      <c r="F12" s="49">
        <f>SUM(F10:F11)</f>
        <v>0</v>
      </c>
      <c r="G12" s="49">
        <f>SUM(G10:G11)</f>
        <v>0</v>
      </c>
      <c r="H12" s="49">
        <f>SUM(H10:H11)</f>
        <v>0</v>
      </c>
      <c r="I12" s="50">
        <f>I11</f>
        <v>0</v>
      </c>
      <c r="J12" s="23"/>
      <c r="K12" s="19">
        <f>SUM(B12:I12)</f>
        <v>0</v>
      </c>
      <c r="L12" s="33"/>
      <c r="M12" s="51">
        <f>K12-L12</f>
        <v>0</v>
      </c>
      <c r="N12" s="3"/>
      <c r="O12" s="52"/>
      <c r="P12" s="53" t="s">
        <v>28</v>
      </c>
      <c r="Q12" s="54">
        <f>SUM(Q8:Q9)</f>
        <v>0</v>
      </c>
      <c r="R12" s="55">
        <f>Q12-B12</f>
        <v>0</v>
      </c>
      <c r="S12" s="56" t="str">
        <f>IFERROR(R12/B12,"")</f>
        <v/>
      </c>
    </row>
    <row r="13" spans="1:105" ht="15.75" customHeight="1" x14ac:dyDescent="0.25">
      <c r="B13" s="57" t="s">
        <v>29</v>
      </c>
      <c r="C13" s="58" t="s">
        <v>30</v>
      </c>
      <c r="D13" s="59"/>
      <c r="E13" s="59"/>
      <c r="F13" s="59"/>
      <c r="G13" s="59"/>
      <c r="H13" s="59"/>
      <c r="I13" s="60"/>
      <c r="J13" s="5"/>
      <c r="K13" s="5"/>
      <c r="L13" s="5"/>
      <c r="M13" s="5"/>
      <c r="N13" s="3"/>
      <c r="O13" s="61"/>
      <c r="P13" s="61" t="s">
        <v>29</v>
      </c>
      <c r="Q13" s="62"/>
      <c r="R13" s="63"/>
      <c r="S13" s="63" t="s">
        <v>30</v>
      </c>
    </row>
    <row r="14" spans="1:105" s="70" customFormat="1" ht="15.75" customHeight="1" x14ac:dyDescent="0.25">
      <c r="A14" s="64"/>
      <c r="B14" s="33">
        <f>SUM(B15:B307)</f>
        <v>0</v>
      </c>
      <c r="C14" s="33">
        <f>SUM(C15:C307)</f>
        <v>0</v>
      </c>
      <c r="D14" s="65"/>
      <c r="E14" s="65"/>
      <c r="F14" s="65"/>
      <c r="G14" s="65"/>
      <c r="H14" s="65"/>
      <c r="I14" s="66"/>
      <c r="J14" s="67"/>
      <c r="K14" s="67"/>
      <c r="L14" s="67"/>
      <c r="M14" s="67"/>
      <c r="N14" s="67"/>
      <c r="O14" s="68" t="s">
        <v>31</v>
      </c>
      <c r="P14" s="33">
        <f>SUM(P15:P307)</f>
        <v>0</v>
      </c>
      <c r="Q14" s="69" t="s">
        <v>32</v>
      </c>
      <c r="R14" s="69" t="s">
        <v>33</v>
      </c>
      <c r="S14" s="33">
        <f>SUM(S15:S307)</f>
        <v>0</v>
      </c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</row>
    <row r="15" spans="1:105" ht="15" customHeight="1" x14ac:dyDescent="0.25">
      <c r="B15" s="71"/>
      <c r="C15" s="71"/>
      <c r="D15" s="71"/>
      <c r="E15" s="71"/>
      <c r="F15" s="71"/>
      <c r="G15" s="71"/>
      <c r="H15" s="71"/>
      <c r="I15" s="72"/>
      <c r="J15" s="72"/>
      <c r="K15" s="72"/>
      <c r="L15" s="72"/>
      <c r="M15" s="72"/>
      <c r="N15" s="72"/>
      <c r="O15" s="73" t="str">
        <f t="shared" ref="O15:O78" si="0">IF(B15&lt;&gt;"",$P$9,"")</f>
        <v/>
      </c>
      <c r="P15" s="43" t="str">
        <f t="shared" ref="P15:P78" si="1">IF(B15&lt;&gt;"",ROUND(B15*(1+O15),2),"")</f>
        <v/>
      </c>
      <c r="Q15" s="74" t="str">
        <f>IF(C15="","",IFERROR(ROUND(C15/VLOOKUP($D$1,LaborRates!$A:$D,4,0),2),""))</f>
        <v/>
      </c>
      <c r="R15" s="75" t="str">
        <f>IF(C15="","",IFERROR(VLOOKUP($D$1,LaborRates!$A:$D,3,0)-10,""))</f>
        <v/>
      </c>
      <c r="S15" s="43" t="str">
        <f t="shared" ref="S15:S78" si="2">IF(OR(Q15="",R15=""),"",ROUND(Q15*R15,2))</f>
        <v/>
      </c>
    </row>
    <row r="16" spans="1:105" ht="15" customHeight="1" x14ac:dyDescent="0.25">
      <c r="B16" s="71"/>
      <c r="C16" s="71"/>
      <c r="D16" s="71"/>
      <c r="E16" s="71"/>
      <c r="F16" s="71"/>
      <c r="G16" s="71"/>
      <c r="H16" s="71"/>
      <c r="I16" s="72"/>
      <c r="J16" s="72"/>
      <c r="K16" s="72"/>
      <c r="L16" s="72"/>
      <c r="M16" s="72"/>
      <c r="N16" s="72"/>
      <c r="O16" s="73" t="str">
        <f t="shared" si="0"/>
        <v/>
      </c>
      <c r="P16" s="43" t="str">
        <f t="shared" si="1"/>
        <v/>
      </c>
      <c r="Q16" s="74" t="str">
        <f>IF(C16="","",IFERROR(ROUND(C16/VLOOKUP($D$1,LaborRates!$A:$D,4,0),2),""))</f>
        <v/>
      </c>
      <c r="R16" s="75" t="str">
        <f>IF(C16="","",IFERROR(VLOOKUP($D$1,LaborRates!$A:$D,3,0)-10,""))</f>
        <v/>
      </c>
      <c r="S16" s="43" t="str">
        <f t="shared" si="2"/>
        <v/>
      </c>
    </row>
    <row r="17" spans="2:19" ht="15" customHeight="1" x14ac:dyDescent="0.25">
      <c r="B17" s="71"/>
      <c r="C17" s="71"/>
      <c r="D17" s="71"/>
      <c r="E17" s="71"/>
      <c r="F17" s="71"/>
      <c r="G17" s="71"/>
      <c r="H17" s="71"/>
      <c r="I17" s="72"/>
      <c r="J17" s="72"/>
      <c r="K17" s="72"/>
      <c r="L17" s="72"/>
      <c r="M17" s="72"/>
      <c r="N17" s="72"/>
      <c r="O17" s="73" t="str">
        <f t="shared" si="0"/>
        <v/>
      </c>
      <c r="P17" s="43" t="str">
        <f t="shared" si="1"/>
        <v/>
      </c>
      <c r="Q17" s="74" t="str">
        <f>IF(C17="","",IFERROR(ROUND(C17/VLOOKUP($D$1,LaborRates!$A:$D,4,0),2),""))</f>
        <v/>
      </c>
      <c r="R17" s="75" t="str">
        <f>IF(C17="","",IFERROR(VLOOKUP($D$1,LaborRates!$A:$D,3,0)-10,""))</f>
        <v/>
      </c>
      <c r="S17" s="43" t="str">
        <f t="shared" si="2"/>
        <v/>
      </c>
    </row>
    <row r="18" spans="2:19" ht="15" customHeight="1" x14ac:dyDescent="0.25">
      <c r="B18" s="71"/>
      <c r="C18" s="71"/>
      <c r="D18" s="71"/>
      <c r="E18" s="71"/>
      <c r="F18" s="71"/>
      <c r="G18" s="71"/>
      <c r="H18" s="71"/>
      <c r="I18" s="72"/>
      <c r="J18" s="72"/>
      <c r="K18" s="72"/>
      <c r="L18" s="72"/>
      <c r="M18" s="72"/>
      <c r="N18" s="72"/>
      <c r="O18" s="73" t="str">
        <f t="shared" si="0"/>
        <v/>
      </c>
      <c r="P18" s="43" t="str">
        <f t="shared" si="1"/>
        <v/>
      </c>
      <c r="Q18" s="74" t="str">
        <f>IF(C18="","",IFERROR(ROUND(C18/VLOOKUP($D$1,LaborRates!$A:$D,4,0),2),""))</f>
        <v/>
      </c>
      <c r="R18" s="75" t="str">
        <f>IF(C18="","",IFERROR(VLOOKUP($D$1,LaborRates!$A:$D,3,0)-10,""))</f>
        <v/>
      </c>
      <c r="S18" s="43" t="str">
        <f t="shared" si="2"/>
        <v/>
      </c>
    </row>
    <row r="19" spans="2:19" ht="15" customHeight="1" x14ac:dyDescent="0.25">
      <c r="B19" s="71"/>
      <c r="C19" s="71"/>
      <c r="D19" s="71"/>
      <c r="E19" s="71"/>
      <c r="F19" s="71"/>
      <c r="G19" s="71"/>
      <c r="H19" s="71"/>
      <c r="I19" s="72"/>
      <c r="J19" s="72"/>
      <c r="K19" s="72"/>
      <c r="L19" s="72"/>
      <c r="M19" s="72"/>
      <c r="N19" s="72"/>
      <c r="O19" s="73" t="str">
        <f t="shared" si="0"/>
        <v/>
      </c>
      <c r="P19" s="43" t="str">
        <f t="shared" si="1"/>
        <v/>
      </c>
      <c r="Q19" s="74" t="str">
        <f>IF(C19="","",IFERROR(ROUND(C19/VLOOKUP($D$1,LaborRates!$A:$D,4,0),2),""))</f>
        <v/>
      </c>
      <c r="R19" s="75" t="str">
        <f>IF(C19="","",IFERROR(VLOOKUP($D$1,LaborRates!$A:$D,3,0)-10,""))</f>
        <v/>
      </c>
      <c r="S19" s="43" t="str">
        <f t="shared" si="2"/>
        <v/>
      </c>
    </row>
    <row r="20" spans="2:19" ht="15" customHeight="1" x14ac:dyDescent="0.25">
      <c r="B20" s="71"/>
      <c r="C20" s="71"/>
      <c r="D20" s="71"/>
      <c r="E20" s="71"/>
      <c r="F20" s="71"/>
      <c r="G20" s="71"/>
      <c r="H20" s="71"/>
      <c r="I20" s="72"/>
      <c r="J20" s="72"/>
      <c r="K20" s="72"/>
      <c r="L20" s="72"/>
      <c r="M20" s="72"/>
      <c r="N20" s="72"/>
      <c r="O20" s="73" t="str">
        <f t="shared" si="0"/>
        <v/>
      </c>
      <c r="P20" s="43" t="str">
        <f t="shared" si="1"/>
        <v/>
      </c>
      <c r="Q20" s="74" t="str">
        <f>IF(C20="","",IFERROR(ROUND(C20/VLOOKUP($D$1,LaborRates!$A:$D,4,0),2),""))</f>
        <v/>
      </c>
      <c r="R20" s="75" t="str">
        <f>IF(C20="","",IFERROR(VLOOKUP($D$1,LaborRates!$A:$D,3,0)-10,""))</f>
        <v/>
      </c>
      <c r="S20" s="43" t="str">
        <f t="shared" si="2"/>
        <v/>
      </c>
    </row>
    <row r="21" spans="2:19" ht="15" customHeight="1" x14ac:dyDescent="0.25">
      <c r="B21" s="71"/>
      <c r="C21" s="71"/>
      <c r="D21" s="71"/>
      <c r="E21" s="71"/>
      <c r="F21" s="71"/>
      <c r="G21" s="71"/>
      <c r="H21" s="71"/>
      <c r="I21" s="72"/>
      <c r="J21" s="72"/>
      <c r="K21" s="72"/>
      <c r="L21" s="72"/>
      <c r="M21" s="72"/>
      <c r="N21" s="72"/>
      <c r="O21" s="73" t="str">
        <f t="shared" si="0"/>
        <v/>
      </c>
      <c r="P21" s="43" t="str">
        <f t="shared" si="1"/>
        <v/>
      </c>
      <c r="Q21" s="74" t="str">
        <f>IF(C21="","",IFERROR(ROUND(C21/VLOOKUP($D$1,LaborRates!$A:$D,4,0),2),""))</f>
        <v/>
      </c>
      <c r="R21" s="75" t="str">
        <f>IF(C21="","",IFERROR(VLOOKUP($D$1,LaborRates!$A:$D,3,0)-10,""))</f>
        <v/>
      </c>
      <c r="S21" s="43" t="str">
        <f t="shared" si="2"/>
        <v/>
      </c>
    </row>
    <row r="22" spans="2:19" ht="15" customHeight="1" x14ac:dyDescent="0.25">
      <c r="B22" s="71"/>
      <c r="C22" s="71"/>
      <c r="D22" s="71"/>
      <c r="E22" s="71"/>
      <c r="F22" s="71"/>
      <c r="G22" s="71"/>
      <c r="H22" s="71"/>
      <c r="I22" s="72"/>
      <c r="J22" s="72"/>
      <c r="K22" s="72"/>
      <c r="L22" s="72"/>
      <c r="M22" s="72"/>
      <c r="N22" s="72"/>
      <c r="O22" s="73" t="str">
        <f t="shared" si="0"/>
        <v/>
      </c>
      <c r="P22" s="43" t="str">
        <f t="shared" si="1"/>
        <v/>
      </c>
      <c r="Q22" s="74" t="str">
        <f>IF(C22="","",IFERROR(ROUND(C22/VLOOKUP($D$1,LaborRates!$A:$D,4,0),2),""))</f>
        <v/>
      </c>
      <c r="R22" s="75" t="str">
        <f>IF(C22="","",IFERROR(VLOOKUP($D$1,LaborRates!$A:$D,3,0)-10,""))</f>
        <v/>
      </c>
      <c r="S22" s="43" t="str">
        <f t="shared" si="2"/>
        <v/>
      </c>
    </row>
    <row r="23" spans="2:19" ht="15" customHeight="1" x14ac:dyDescent="0.25">
      <c r="B23" s="71"/>
      <c r="C23" s="71"/>
      <c r="D23" s="71"/>
      <c r="E23" s="71"/>
      <c r="F23" s="71"/>
      <c r="G23" s="71"/>
      <c r="H23" s="71"/>
      <c r="I23" s="72"/>
      <c r="J23" s="72"/>
      <c r="K23" s="72"/>
      <c r="L23" s="72"/>
      <c r="M23" s="72"/>
      <c r="N23" s="72"/>
      <c r="O23" s="73" t="str">
        <f t="shared" si="0"/>
        <v/>
      </c>
      <c r="P23" s="43" t="str">
        <f t="shared" si="1"/>
        <v/>
      </c>
      <c r="Q23" s="74" t="str">
        <f>IF(C23="","",IFERROR(ROUND(C23/VLOOKUP($D$1,LaborRates!$A:$D,4,0),2),""))</f>
        <v/>
      </c>
      <c r="R23" s="75" t="str">
        <f>IF(C23="","",IFERROR(VLOOKUP($D$1,LaborRates!$A:$D,3,0)-10,""))</f>
        <v/>
      </c>
      <c r="S23" s="43" t="str">
        <f t="shared" si="2"/>
        <v/>
      </c>
    </row>
    <row r="24" spans="2:19" ht="15" customHeight="1" x14ac:dyDescent="0.25">
      <c r="B24" s="71"/>
      <c r="C24" s="71"/>
      <c r="D24" s="71"/>
      <c r="E24" s="71"/>
      <c r="F24" s="71"/>
      <c r="G24" s="71"/>
      <c r="H24" s="71"/>
      <c r="I24" s="72"/>
      <c r="J24" s="72"/>
      <c r="K24" s="72"/>
      <c r="L24" s="72"/>
      <c r="M24" s="72"/>
      <c r="N24" s="72"/>
      <c r="O24" s="73" t="str">
        <f t="shared" si="0"/>
        <v/>
      </c>
      <c r="P24" s="43" t="str">
        <f t="shared" si="1"/>
        <v/>
      </c>
      <c r="Q24" s="74" t="str">
        <f>IF(C24="","",IFERROR(ROUND(C24/VLOOKUP($D$1,LaborRates!$A:$D,4,0),2),""))</f>
        <v/>
      </c>
      <c r="R24" s="75" t="str">
        <f>IF(C24="","",IFERROR(VLOOKUP($D$1,LaborRates!$A:$D,3,0)-10,""))</f>
        <v/>
      </c>
      <c r="S24" s="43" t="str">
        <f t="shared" si="2"/>
        <v/>
      </c>
    </row>
    <row r="25" spans="2:19" ht="15" customHeight="1" x14ac:dyDescent="0.25">
      <c r="B25" s="71"/>
      <c r="C25" s="71"/>
      <c r="D25" s="71"/>
      <c r="E25" s="71"/>
      <c r="F25" s="71"/>
      <c r="G25" s="71"/>
      <c r="H25" s="71"/>
      <c r="I25" s="72"/>
      <c r="J25" s="72"/>
      <c r="K25" s="72"/>
      <c r="L25" s="72"/>
      <c r="M25" s="72"/>
      <c r="N25" s="72"/>
      <c r="O25" s="73" t="str">
        <f t="shared" si="0"/>
        <v/>
      </c>
      <c r="P25" s="43" t="str">
        <f t="shared" si="1"/>
        <v/>
      </c>
      <c r="Q25" s="74" t="str">
        <f>IF(C25="","",IFERROR(ROUND(C25/VLOOKUP($D$1,LaborRates!$A:$D,4,0),2),""))</f>
        <v/>
      </c>
      <c r="R25" s="75" t="str">
        <f>IF(C25="","",IFERROR(VLOOKUP($D$1,LaborRates!$A:$D,3,0)-10,""))</f>
        <v/>
      </c>
      <c r="S25" s="43" t="str">
        <f t="shared" si="2"/>
        <v/>
      </c>
    </row>
    <row r="26" spans="2:19" ht="15" customHeight="1" x14ac:dyDescent="0.25">
      <c r="B26" s="71"/>
      <c r="C26" s="71"/>
      <c r="D26" s="71"/>
      <c r="E26" s="71"/>
      <c r="F26" s="71"/>
      <c r="G26" s="71"/>
      <c r="H26" s="71"/>
      <c r="I26" s="72"/>
      <c r="J26" s="72"/>
      <c r="K26" s="72"/>
      <c r="L26" s="72"/>
      <c r="M26" s="72"/>
      <c r="N26" s="72"/>
      <c r="O26" s="73" t="str">
        <f t="shared" si="0"/>
        <v/>
      </c>
      <c r="P26" s="43" t="str">
        <f t="shared" si="1"/>
        <v/>
      </c>
      <c r="Q26" s="74" t="str">
        <f>IF(C26="","",IFERROR(ROUND(C26/VLOOKUP($D$1,LaborRates!$A:$D,4,0),2),""))</f>
        <v/>
      </c>
      <c r="R26" s="75" t="str">
        <f>IF(C26="","",IFERROR(VLOOKUP($D$1,LaborRates!$A:$D,3,0)-10,""))</f>
        <v/>
      </c>
      <c r="S26" s="43" t="str">
        <f t="shared" si="2"/>
        <v/>
      </c>
    </row>
    <row r="27" spans="2:19" ht="15" customHeight="1" x14ac:dyDescent="0.25">
      <c r="B27" s="71"/>
      <c r="C27" s="71"/>
      <c r="D27" s="71"/>
      <c r="E27" s="71"/>
      <c r="F27" s="71"/>
      <c r="G27" s="71"/>
      <c r="H27" s="71"/>
      <c r="I27" s="72"/>
      <c r="J27" s="72"/>
      <c r="K27" s="72"/>
      <c r="L27" s="72"/>
      <c r="M27" s="72"/>
      <c r="N27" s="72"/>
      <c r="O27" s="73" t="str">
        <f t="shared" si="0"/>
        <v/>
      </c>
      <c r="P27" s="43" t="str">
        <f t="shared" si="1"/>
        <v/>
      </c>
      <c r="Q27" s="74" t="str">
        <f>IF(C27="","",IFERROR(ROUND(C27/VLOOKUP($D$1,LaborRates!$A:$D,4,0),2),""))</f>
        <v/>
      </c>
      <c r="R27" s="75" t="str">
        <f>IF(C27="","",IFERROR(VLOOKUP($D$1,LaborRates!$A:$D,3,0)-10,""))</f>
        <v/>
      </c>
      <c r="S27" s="43" t="str">
        <f t="shared" si="2"/>
        <v/>
      </c>
    </row>
    <row r="28" spans="2:19" ht="15" customHeight="1" x14ac:dyDescent="0.25">
      <c r="B28" s="71"/>
      <c r="C28" s="71"/>
      <c r="D28" s="71"/>
      <c r="E28" s="71"/>
      <c r="F28" s="71"/>
      <c r="G28" s="71"/>
      <c r="H28" s="71"/>
      <c r="I28" s="72"/>
      <c r="J28" s="72"/>
      <c r="K28" s="72"/>
      <c r="L28" s="72"/>
      <c r="M28" s="72"/>
      <c r="N28" s="72"/>
      <c r="O28" s="73" t="str">
        <f t="shared" si="0"/>
        <v/>
      </c>
      <c r="P28" s="43" t="str">
        <f t="shared" si="1"/>
        <v/>
      </c>
      <c r="Q28" s="74" t="str">
        <f>IF(C28="","",IFERROR(ROUND(C28/VLOOKUP($D$1,LaborRates!$A:$D,4,0),2),""))</f>
        <v/>
      </c>
      <c r="R28" s="75" t="str">
        <f>IF(C28="","",IFERROR(VLOOKUP($D$1,LaborRates!$A:$D,3,0)-10,""))</f>
        <v/>
      </c>
      <c r="S28" s="43" t="str">
        <f t="shared" si="2"/>
        <v/>
      </c>
    </row>
    <row r="29" spans="2:19" ht="15" customHeight="1" x14ac:dyDescent="0.25">
      <c r="B29" s="71"/>
      <c r="C29" s="71"/>
      <c r="D29" s="71"/>
      <c r="E29" s="71"/>
      <c r="F29" s="71"/>
      <c r="G29" s="71"/>
      <c r="H29" s="71"/>
      <c r="I29" s="72"/>
      <c r="J29" s="72"/>
      <c r="K29" s="72"/>
      <c r="L29" s="72"/>
      <c r="M29" s="72"/>
      <c r="N29" s="72"/>
      <c r="O29" s="73" t="str">
        <f t="shared" si="0"/>
        <v/>
      </c>
      <c r="P29" s="43" t="str">
        <f t="shared" si="1"/>
        <v/>
      </c>
      <c r="Q29" s="74" t="str">
        <f>IF(C29="","",IFERROR(ROUND(C29/VLOOKUP($D$1,LaborRates!$A:$D,4,0),2),""))</f>
        <v/>
      </c>
      <c r="R29" s="75" t="str">
        <f>IF(C29="","",IFERROR(VLOOKUP($D$1,LaborRates!$A:$D,3,0)-10,""))</f>
        <v/>
      </c>
      <c r="S29" s="43" t="str">
        <f t="shared" si="2"/>
        <v/>
      </c>
    </row>
    <row r="30" spans="2:19" ht="15" customHeight="1" x14ac:dyDescent="0.25">
      <c r="B30" s="71"/>
      <c r="C30" s="71"/>
      <c r="D30" s="71"/>
      <c r="E30" s="71"/>
      <c r="F30" s="71"/>
      <c r="G30" s="71"/>
      <c r="H30" s="71"/>
      <c r="I30" s="72"/>
      <c r="J30" s="72"/>
      <c r="K30" s="72"/>
      <c r="L30" s="72"/>
      <c r="M30" s="72"/>
      <c r="N30" s="72"/>
      <c r="O30" s="73" t="str">
        <f t="shared" si="0"/>
        <v/>
      </c>
      <c r="P30" s="43" t="str">
        <f t="shared" si="1"/>
        <v/>
      </c>
      <c r="Q30" s="74" t="str">
        <f>IF(C30="","",IFERROR(ROUND(C30/VLOOKUP($D$1,LaborRates!$A:$D,4,0),2),""))</f>
        <v/>
      </c>
      <c r="R30" s="75" t="str">
        <f>IF(C30="","",IFERROR(VLOOKUP($D$1,LaborRates!$A:$D,3,0)-10,""))</f>
        <v/>
      </c>
      <c r="S30" s="43" t="str">
        <f t="shared" si="2"/>
        <v/>
      </c>
    </row>
    <row r="31" spans="2:19" ht="15" customHeight="1" x14ac:dyDescent="0.25">
      <c r="B31" s="71"/>
      <c r="C31" s="71"/>
      <c r="D31" s="71"/>
      <c r="E31" s="71"/>
      <c r="F31" s="71"/>
      <c r="G31" s="71"/>
      <c r="H31" s="71"/>
      <c r="I31" s="72"/>
      <c r="J31" s="72"/>
      <c r="K31" s="72"/>
      <c r="L31" s="72"/>
      <c r="M31" s="72"/>
      <c r="N31" s="72"/>
      <c r="O31" s="73" t="str">
        <f t="shared" si="0"/>
        <v/>
      </c>
      <c r="P31" s="43" t="str">
        <f t="shared" si="1"/>
        <v/>
      </c>
      <c r="Q31" s="74" t="str">
        <f>IF(C31="","",IFERROR(ROUND(C31/VLOOKUP($D$1,LaborRates!$A:$D,4,0),2),""))</f>
        <v/>
      </c>
      <c r="R31" s="75" t="str">
        <f>IF(C31="","",IFERROR(VLOOKUP($D$1,LaborRates!$A:$D,3,0)-10,""))</f>
        <v/>
      </c>
      <c r="S31" s="43" t="str">
        <f t="shared" si="2"/>
        <v/>
      </c>
    </row>
    <row r="32" spans="2:19" ht="15" customHeight="1" x14ac:dyDescent="0.25">
      <c r="B32" s="71"/>
      <c r="C32" s="71"/>
      <c r="D32" s="71"/>
      <c r="E32" s="71"/>
      <c r="F32" s="71"/>
      <c r="G32" s="71"/>
      <c r="H32" s="71"/>
      <c r="I32" s="72"/>
      <c r="J32" s="72"/>
      <c r="K32" s="72"/>
      <c r="L32" s="72"/>
      <c r="M32" s="72"/>
      <c r="N32" s="72"/>
      <c r="O32" s="73" t="str">
        <f t="shared" si="0"/>
        <v/>
      </c>
      <c r="P32" s="43" t="str">
        <f t="shared" si="1"/>
        <v/>
      </c>
      <c r="Q32" s="74" t="str">
        <f>IF(C32="","",IFERROR(ROUND(C32/VLOOKUP($D$1,LaborRates!$A:$D,4,0),2),""))</f>
        <v/>
      </c>
      <c r="R32" s="75" t="str">
        <f>IF(C32="","",IFERROR(VLOOKUP($D$1,LaborRates!$A:$D,3,0)-10,""))</f>
        <v/>
      </c>
      <c r="S32" s="43" t="str">
        <f t="shared" si="2"/>
        <v/>
      </c>
    </row>
    <row r="33" spans="2:19" ht="15" customHeight="1" x14ac:dyDescent="0.25">
      <c r="B33" s="71"/>
      <c r="C33" s="71"/>
      <c r="D33" s="71"/>
      <c r="E33" s="71"/>
      <c r="F33" s="71"/>
      <c r="G33" s="71"/>
      <c r="H33" s="71"/>
      <c r="I33" s="72"/>
      <c r="J33" s="72"/>
      <c r="K33" s="72"/>
      <c r="L33" s="72"/>
      <c r="M33" s="72"/>
      <c r="N33" s="72"/>
      <c r="O33" s="73" t="str">
        <f t="shared" si="0"/>
        <v/>
      </c>
      <c r="P33" s="43" t="str">
        <f t="shared" si="1"/>
        <v/>
      </c>
      <c r="Q33" s="74" t="str">
        <f>IF(C33="","",IFERROR(ROUND(C33/VLOOKUP($D$1,LaborRates!$A:$D,4,0),2),""))</f>
        <v/>
      </c>
      <c r="R33" s="75" t="str">
        <f>IF(C33="","",IFERROR(VLOOKUP($D$1,LaborRates!$A:$D,3,0)-10,""))</f>
        <v/>
      </c>
      <c r="S33" s="43" t="str">
        <f t="shared" si="2"/>
        <v/>
      </c>
    </row>
    <row r="34" spans="2:19" ht="15" customHeight="1" x14ac:dyDescent="0.25">
      <c r="B34" s="71"/>
      <c r="C34" s="71"/>
      <c r="D34" s="71"/>
      <c r="E34" s="71"/>
      <c r="F34" s="71"/>
      <c r="G34" s="71"/>
      <c r="H34" s="71"/>
      <c r="I34" s="72"/>
      <c r="J34" s="72"/>
      <c r="K34" s="72"/>
      <c r="L34" s="72"/>
      <c r="M34" s="72"/>
      <c r="N34" s="72"/>
      <c r="O34" s="73" t="str">
        <f t="shared" si="0"/>
        <v/>
      </c>
      <c r="P34" s="43" t="str">
        <f t="shared" si="1"/>
        <v/>
      </c>
      <c r="Q34" s="74" t="str">
        <f>IF(C34="","",IFERROR(ROUND(C34/VLOOKUP($D$1,LaborRates!$A:$D,4,0),2),""))</f>
        <v/>
      </c>
      <c r="R34" s="75" t="str">
        <f>IF(C34="","",IFERROR(VLOOKUP($D$1,LaborRates!$A:$D,3,0)-10,""))</f>
        <v/>
      </c>
      <c r="S34" s="43" t="str">
        <f t="shared" si="2"/>
        <v/>
      </c>
    </row>
    <row r="35" spans="2:19" ht="15" customHeight="1" x14ac:dyDescent="0.25">
      <c r="B35" s="71"/>
      <c r="C35" s="71"/>
      <c r="D35" s="71"/>
      <c r="E35" s="71"/>
      <c r="F35" s="71"/>
      <c r="G35" s="71"/>
      <c r="H35" s="71"/>
      <c r="I35" s="72"/>
      <c r="J35" s="72"/>
      <c r="K35" s="72"/>
      <c r="L35" s="72"/>
      <c r="M35" s="72"/>
      <c r="N35" s="72"/>
      <c r="O35" s="73" t="str">
        <f t="shared" si="0"/>
        <v/>
      </c>
      <c r="P35" s="43" t="str">
        <f t="shared" si="1"/>
        <v/>
      </c>
      <c r="Q35" s="74" t="str">
        <f>IF(C35="","",IFERROR(ROUND(C35/VLOOKUP($D$1,LaborRates!$A:$D,4,0),2),""))</f>
        <v/>
      </c>
      <c r="R35" s="75" t="str">
        <f>IF(C35="","",IFERROR(VLOOKUP($D$1,LaborRates!$A:$D,3,0)-10,""))</f>
        <v/>
      </c>
      <c r="S35" s="43" t="str">
        <f t="shared" si="2"/>
        <v/>
      </c>
    </row>
    <row r="36" spans="2:19" ht="15" customHeight="1" x14ac:dyDescent="0.25">
      <c r="B36" s="71"/>
      <c r="C36" s="71"/>
      <c r="D36" s="71"/>
      <c r="E36" s="71"/>
      <c r="F36" s="71"/>
      <c r="G36" s="71"/>
      <c r="H36" s="71"/>
      <c r="I36" s="72"/>
      <c r="J36" s="72"/>
      <c r="K36" s="72"/>
      <c r="L36" s="72"/>
      <c r="M36" s="72"/>
      <c r="N36" s="72"/>
      <c r="O36" s="73" t="str">
        <f t="shared" si="0"/>
        <v/>
      </c>
      <c r="P36" s="43" t="str">
        <f t="shared" si="1"/>
        <v/>
      </c>
      <c r="Q36" s="74" t="str">
        <f>IF(C36="","",IFERROR(ROUND(C36/VLOOKUP($D$1,LaborRates!$A:$D,4,0),2),""))</f>
        <v/>
      </c>
      <c r="R36" s="75" t="str">
        <f>IF(C36="","",IFERROR(VLOOKUP($D$1,LaborRates!$A:$D,3,0)-10,""))</f>
        <v/>
      </c>
      <c r="S36" s="43" t="str">
        <f t="shared" si="2"/>
        <v/>
      </c>
    </row>
    <row r="37" spans="2:19" ht="15" customHeight="1" x14ac:dyDescent="0.25">
      <c r="B37" s="71"/>
      <c r="C37" s="71"/>
      <c r="D37" s="71"/>
      <c r="E37" s="71"/>
      <c r="F37" s="71"/>
      <c r="G37" s="71"/>
      <c r="H37" s="71"/>
      <c r="I37" s="72"/>
      <c r="J37" s="72"/>
      <c r="K37" s="72"/>
      <c r="L37" s="72"/>
      <c r="M37" s="72"/>
      <c r="N37" s="72"/>
      <c r="O37" s="73" t="str">
        <f t="shared" si="0"/>
        <v/>
      </c>
      <c r="P37" s="43" t="str">
        <f t="shared" si="1"/>
        <v/>
      </c>
      <c r="Q37" s="74" t="str">
        <f>IF(C37="","",IFERROR(ROUND(C37/VLOOKUP($D$1,LaborRates!$A:$D,4,0),2),""))</f>
        <v/>
      </c>
      <c r="R37" s="75" t="str">
        <f>IF(C37="","",IFERROR(VLOOKUP($D$1,LaborRates!$A:$D,3,0)-10,""))</f>
        <v/>
      </c>
      <c r="S37" s="43" t="str">
        <f t="shared" si="2"/>
        <v/>
      </c>
    </row>
    <row r="38" spans="2:19" ht="15" customHeight="1" x14ac:dyDescent="0.25">
      <c r="B38" s="71"/>
      <c r="C38" s="71"/>
      <c r="D38" s="71"/>
      <c r="E38" s="71"/>
      <c r="F38" s="71"/>
      <c r="G38" s="71"/>
      <c r="H38" s="71"/>
      <c r="I38" s="72"/>
      <c r="J38" s="72"/>
      <c r="K38" s="72"/>
      <c r="L38" s="72"/>
      <c r="M38" s="72"/>
      <c r="N38" s="72"/>
      <c r="O38" s="73" t="str">
        <f t="shared" si="0"/>
        <v/>
      </c>
      <c r="P38" s="43" t="str">
        <f t="shared" si="1"/>
        <v/>
      </c>
      <c r="Q38" s="74" t="str">
        <f>IF(C38="","",IFERROR(ROUND(C38/VLOOKUP($D$1,LaborRates!$A:$D,4,0),2),""))</f>
        <v/>
      </c>
      <c r="R38" s="75" t="str">
        <f>IF(C38="","",IFERROR(VLOOKUP($D$1,LaborRates!$A:$D,3,0)-10,""))</f>
        <v/>
      </c>
      <c r="S38" s="43" t="str">
        <f t="shared" si="2"/>
        <v/>
      </c>
    </row>
    <row r="39" spans="2:19" ht="15" customHeight="1" x14ac:dyDescent="0.25">
      <c r="B39" s="71"/>
      <c r="C39" s="71"/>
      <c r="D39" s="71"/>
      <c r="E39" s="71"/>
      <c r="F39" s="71"/>
      <c r="G39" s="71"/>
      <c r="H39" s="71"/>
      <c r="I39" s="72"/>
      <c r="J39" s="72"/>
      <c r="K39" s="72"/>
      <c r="L39" s="72"/>
      <c r="M39" s="72"/>
      <c r="N39" s="72"/>
      <c r="O39" s="73" t="str">
        <f t="shared" si="0"/>
        <v/>
      </c>
      <c r="P39" s="43" t="str">
        <f t="shared" si="1"/>
        <v/>
      </c>
      <c r="Q39" s="74" t="str">
        <f>IF(C39="","",IFERROR(ROUND(C39/VLOOKUP($D$1,LaborRates!$A:$D,4,0),2),""))</f>
        <v/>
      </c>
      <c r="R39" s="75" t="str">
        <f>IF(C39="","",IFERROR(VLOOKUP($D$1,LaborRates!$A:$D,3,0)-10,""))</f>
        <v/>
      </c>
      <c r="S39" s="43" t="str">
        <f t="shared" si="2"/>
        <v/>
      </c>
    </row>
    <row r="40" spans="2:19" ht="15" customHeight="1" x14ac:dyDescent="0.25">
      <c r="B40" s="71"/>
      <c r="C40" s="71"/>
      <c r="D40" s="71"/>
      <c r="E40" s="71"/>
      <c r="F40" s="71"/>
      <c r="G40" s="71"/>
      <c r="H40" s="71"/>
      <c r="I40" s="72"/>
      <c r="J40" s="72"/>
      <c r="K40" s="72"/>
      <c r="L40" s="72"/>
      <c r="M40" s="72"/>
      <c r="N40" s="72"/>
      <c r="O40" s="73" t="str">
        <f t="shared" si="0"/>
        <v/>
      </c>
      <c r="P40" s="43" t="str">
        <f t="shared" si="1"/>
        <v/>
      </c>
      <c r="Q40" s="74" t="str">
        <f>IF(C40="","",IFERROR(ROUND(C40/VLOOKUP($D$1,LaborRates!$A:$D,4,0),2),""))</f>
        <v/>
      </c>
      <c r="R40" s="75" t="str">
        <f>IF(C40="","",IFERROR(VLOOKUP($D$1,LaborRates!$A:$D,3,0)-10,""))</f>
        <v/>
      </c>
      <c r="S40" s="43" t="str">
        <f t="shared" si="2"/>
        <v/>
      </c>
    </row>
    <row r="41" spans="2:19" ht="15" customHeight="1" x14ac:dyDescent="0.25">
      <c r="B41" s="71"/>
      <c r="C41" s="71"/>
      <c r="D41" s="71"/>
      <c r="E41" s="71"/>
      <c r="F41" s="71"/>
      <c r="G41" s="71"/>
      <c r="H41" s="71"/>
      <c r="I41" s="72"/>
      <c r="J41" s="72"/>
      <c r="K41" s="72"/>
      <c r="L41" s="72"/>
      <c r="M41" s="72"/>
      <c r="N41" s="72"/>
      <c r="O41" s="73" t="str">
        <f t="shared" si="0"/>
        <v/>
      </c>
      <c r="P41" s="43" t="str">
        <f t="shared" si="1"/>
        <v/>
      </c>
      <c r="Q41" s="74" t="str">
        <f>IF(C41="","",IFERROR(ROUND(C41/VLOOKUP($D$1,LaborRates!$A:$D,4,0),2),""))</f>
        <v/>
      </c>
      <c r="R41" s="75" t="str">
        <f>IF(C41="","",IFERROR(VLOOKUP($D$1,LaborRates!$A:$D,3,0)-10,""))</f>
        <v/>
      </c>
      <c r="S41" s="43" t="str">
        <f t="shared" si="2"/>
        <v/>
      </c>
    </row>
    <row r="42" spans="2:19" ht="15" customHeight="1" x14ac:dyDescent="0.25">
      <c r="B42" s="71"/>
      <c r="C42" s="71"/>
      <c r="D42" s="71"/>
      <c r="E42" s="71"/>
      <c r="F42" s="71"/>
      <c r="G42" s="71"/>
      <c r="H42" s="71"/>
      <c r="I42" s="72"/>
      <c r="J42" s="72"/>
      <c r="K42" s="72"/>
      <c r="L42" s="72"/>
      <c r="M42" s="72"/>
      <c r="N42" s="72"/>
      <c r="O42" s="73" t="str">
        <f t="shared" si="0"/>
        <v/>
      </c>
      <c r="P42" s="43" t="str">
        <f t="shared" si="1"/>
        <v/>
      </c>
      <c r="Q42" s="74" t="str">
        <f>IF(C42="","",IFERROR(ROUND(C42/VLOOKUP($D$1,LaborRates!$A:$D,4,0),2),""))</f>
        <v/>
      </c>
      <c r="R42" s="75" t="str">
        <f>IF(C42="","",IFERROR(VLOOKUP($D$1,LaborRates!$A:$D,3,0)-10,""))</f>
        <v/>
      </c>
      <c r="S42" s="43" t="str">
        <f t="shared" si="2"/>
        <v/>
      </c>
    </row>
    <row r="43" spans="2:19" ht="15" customHeight="1" x14ac:dyDescent="0.25">
      <c r="B43" s="71"/>
      <c r="C43" s="71"/>
      <c r="D43" s="71"/>
      <c r="E43" s="71"/>
      <c r="F43" s="71"/>
      <c r="G43" s="71"/>
      <c r="H43" s="71"/>
      <c r="I43" s="72"/>
      <c r="J43" s="72"/>
      <c r="K43" s="72"/>
      <c r="L43" s="72"/>
      <c r="M43" s="72"/>
      <c r="N43" s="72"/>
      <c r="O43" s="73" t="str">
        <f t="shared" si="0"/>
        <v/>
      </c>
      <c r="P43" s="43" t="str">
        <f t="shared" si="1"/>
        <v/>
      </c>
      <c r="Q43" s="74" t="str">
        <f>IF(C43="","",IFERROR(ROUND(C43/VLOOKUP($D$1,LaborRates!$A:$D,4,0),2),""))</f>
        <v/>
      </c>
      <c r="R43" s="75" t="str">
        <f>IF(C43="","",IFERROR(VLOOKUP($D$1,LaborRates!$A:$D,3,0)-10,""))</f>
        <v/>
      </c>
      <c r="S43" s="43" t="str">
        <f t="shared" si="2"/>
        <v/>
      </c>
    </row>
    <row r="44" spans="2:19" ht="15" customHeight="1" x14ac:dyDescent="0.25">
      <c r="B44" s="71"/>
      <c r="C44" s="71"/>
      <c r="D44" s="71"/>
      <c r="E44" s="71"/>
      <c r="F44" s="71"/>
      <c r="G44" s="71"/>
      <c r="H44" s="71"/>
      <c r="I44" s="72"/>
      <c r="J44" s="72"/>
      <c r="K44" s="72"/>
      <c r="L44" s="72"/>
      <c r="M44" s="72"/>
      <c r="N44" s="72"/>
      <c r="O44" s="73" t="str">
        <f t="shared" si="0"/>
        <v/>
      </c>
      <c r="P44" s="43" t="str">
        <f t="shared" si="1"/>
        <v/>
      </c>
      <c r="Q44" s="74" t="str">
        <f>IF(C44="","",IFERROR(ROUND(C44/VLOOKUP($D$1,LaborRates!$A:$D,4,0),2),""))</f>
        <v/>
      </c>
      <c r="R44" s="75" t="str">
        <f>IF(C44="","",IFERROR(VLOOKUP($D$1,LaborRates!$A:$D,3,0)-10,""))</f>
        <v/>
      </c>
      <c r="S44" s="43" t="str">
        <f t="shared" si="2"/>
        <v/>
      </c>
    </row>
    <row r="45" spans="2:19" ht="15" customHeight="1" x14ac:dyDescent="0.25">
      <c r="B45" s="71"/>
      <c r="C45" s="71"/>
      <c r="D45" s="71"/>
      <c r="E45" s="71"/>
      <c r="F45" s="71"/>
      <c r="G45" s="71"/>
      <c r="H45" s="71"/>
      <c r="I45" s="72"/>
      <c r="J45" s="72"/>
      <c r="K45" s="72"/>
      <c r="L45" s="72"/>
      <c r="M45" s="72"/>
      <c r="N45" s="72"/>
      <c r="O45" s="73" t="str">
        <f t="shared" si="0"/>
        <v/>
      </c>
      <c r="P45" s="43" t="str">
        <f t="shared" si="1"/>
        <v/>
      </c>
      <c r="Q45" s="74" t="str">
        <f>IF(C45="","",IFERROR(ROUND(C45/VLOOKUP($D$1,LaborRates!$A:$D,4,0),2),""))</f>
        <v/>
      </c>
      <c r="R45" s="75" t="str">
        <f>IF(C45="","",IFERROR(VLOOKUP($D$1,LaborRates!$A:$D,3,0)-10,""))</f>
        <v/>
      </c>
      <c r="S45" s="43" t="str">
        <f t="shared" si="2"/>
        <v/>
      </c>
    </row>
    <row r="46" spans="2:19" ht="15" customHeight="1" x14ac:dyDescent="0.25">
      <c r="B46" s="71"/>
      <c r="C46" s="71"/>
      <c r="D46" s="71"/>
      <c r="E46" s="71"/>
      <c r="F46" s="71"/>
      <c r="G46" s="71"/>
      <c r="H46" s="71"/>
      <c r="I46" s="72"/>
      <c r="J46" s="72"/>
      <c r="K46" s="72"/>
      <c r="L46" s="72"/>
      <c r="M46" s="72"/>
      <c r="N46" s="72"/>
      <c r="O46" s="73" t="str">
        <f t="shared" si="0"/>
        <v/>
      </c>
      <c r="P46" s="43" t="str">
        <f t="shared" si="1"/>
        <v/>
      </c>
      <c r="Q46" s="74" t="str">
        <f>IF(C46="","",IFERROR(ROUND(C46/VLOOKUP($D$1,LaborRates!$A:$D,4,0),2),""))</f>
        <v/>
      </c>
      <c r="R46" s="75" t="str">
        <f>IF(C46="","",IFERROR(VLOOKUP($D$1,LaborRates!$A:$D,3,0)-10,""))</f>
        <v/>
      </c>
      <c r="S46" s="43" t="str">
        <f t="shared" si="2"/>
        <v/>
      </c>
    </row>
    <row r="47" spans="2:19" ht="15" customHeight="1" x14ac:dyDescent="0.25">
      <c r="B47" s="71"/>
      <c r="C47" s="71"/>
      <c r="D47" s="71"/>
      <c r="E47" s="71"/>
      <c r="F47" s="71"/>
      <c r="G47" s="71"/>
      <c r="H47" s="71"/>
      <c r="I47" s="72"/>
      <c r="J47" s="72"/>
      <c r="K47" s="72"/>
      <c r="L47" s="72"/>
      <c r="M47" s="72"/>
      <c r="N47" s="72"/>
      <c r="O47" s="73" t="str">
        <f t="shared" si="0"/>
        <v/>
      </c>
      <c r="P47" s="43" t="str">
        <f t="shared" si="1"/>
        <v/>
      </c>
      <c r="Q47" s="74" t="str">
        <f>IF(C47="","",IFERROR(ROUND(C47/VLOOKUP($D$1,LaborRates!$A:$D,4,0),2),""))</f>
        <v/>
      </c>
      <c r="R47" s="75" t="str">
        <f>IF(C47="","",IFERROR(VLOOKUP($D$1,LaborRates!$A:$D,3,0)-10,""))</f>
        <v/>
      </c>
      <c r="S47" s="43" t="str">
        <f t="shared" si="2"/>
        <v/>
      </c>
    </row>
    <row r="48" spans="2:19" ht="15" customHeight="1" x14ac:dyDescent="0.25">
      <c r="B48" s="71"/>
      <c r="C48" s="71"/>
      <c r="D48" s="71"/>
      <c r="E48" s="71"/>
      <c r="F48" s="71"/>
      <c r="G48" s="71"/>
      <c r="H48" s="71"/>
      <c r="I48" s="72"/>
      <c r="J48" s="72"/>
      <c r="K48" s="72"/>
      <c r="L48" s="72"/>
      <c r="M48" s="72"/>
      <c r="N48" s="72"/>
      <c r="O48" s="73" t="str">
        <f t="shared" si="0"/>
        <v/>
      </c>
      <c r="P48" s="43" t="str">
        <f t="shared" si="1"/>
        <v/>
      </c>
      <c r="Q48" s="74" t="str">
        <f>IF(C48="","",IFERROR(ROUND(C48/VLOOKUP($D$1,LaborRates!$A:$D,4,0),2),""))</f>
        <v/>
      </c>
      <c r="R48" s="75" t="str">
        <f>IF(C48="","",IFERROR(VLOOKUP($D$1,LaborRates!$A:$D,3,0)-10,""))</f>
        <v/>
      </c>
      <c r="S48" s="43" t="str">
        <f t="shared" si="2"/>
        <v/>
      </c>
    </row>
    <row r="49" spans="2:19" ht="15" customHeight="1" x14ac:dyDescent="0.25">
      <c r="B49" s="71"/>
      <c r="C49" s="71"/>
      <c r="D49" s="71"/>
      <c r="E49" s="71"/>
      <c r="F49" s="71"/>
      <c r="G49" s="71"/>
      <c r="H49" s="71"/>
      <c r="I49" s="72"/>
      <c r="J49" s="72"/>
      <c r="K49" s="72"/>
      <c r="L49" s="72"/>
      <c r="M49" s="72"/>
      <c r="N49" s="72"/>
      <c r="O49" s="73" t="str">
        <f t="shared" si="0"/>
        <v/>
      </c>
      <c r="P49" s="43" t="str">
        <f t="shared" si="1"/>
        <v/>
      </c>
      <c r="Q49" s="74" t="str">
        <f>IF(C49="","",IFERROR(ROUND(C49/VLOOKUP($D$1,LaborRates!$A:$D,4,0),2),""))</f>
        <v/>
      </c>
      <c r="R49" s="75" t="str">
        <f>IF(C49="","",IFERROR(VLOOKUP($D$1,LaborRates!$A:$D,3,0)-10,""))</f>
        <v/>
      </c>
      <c r="S49" s="43" t="str">
        <f t="shared" si="2"/>
        <v/>
      </c>
    </row>
    <row r="50" spans="2:19" ht="15" customHeight="1" x14ac:dyDescent="0.25">
      <c r="B50" s="71"/>
      <c r="C50" s="71"/>
      <c r="D50" s="71"/>
      <c r="E50" s="71"/>
      <c r="F50" s="71"/>
      <c r="G50" s="71"/>
      <c r="H50" s="71"/>
      <c r="I50" s="72"/>
      <c r="J50" s="72"/>
      <c r="K50" s="72"/>
      <c r="L50" s="72"/>
      <c r="M50" s="72"/>
      <c r="N50" s="72"/>
      <c r="O50" s="73" t="str">
        <f t="shared" si="0"/>
        <v/>
      </c>
      <c r="P50" s="43" t="str">
        <f t="shared" si="1"/>
        <v/>
      </c>
      <c r="Q50" s="74" t="str">
        <f>IF(C50="","",IFERROR(ROUND(C50/VLOOKUP($D$1,LaborRates!$A:$D,4,0),2),""))</f>
        <v/>
      </c>
      <c r="R50" s="75" t="str">
        <f>IF(C50="","",IFERROR(VLOOKUP($D$1,LaborRates!$A:$D,3,0)-10,""))</f>
        <v/>
      </c>
      <c r="S50" s="43" t="str">
        <f t="shared" si="2"/>
        <v/>
      </c>
    </row>
    <row r="51" spans="2:19" ht="15" customHeight="1" x14ac:dyDescent="0.25">
      <c r="B51" s="71"/>
      <c r="C51" s="71"/>
      <c r="D51" s="71"/>
      <c r="E51" s="71"/>
      <c r="F51" s="71"/>
      <c r="G51" s="71"/>
      <c r="H51" s="71"/>
      <c r="I51" s="72"/>
      <c r="J51" s="72"/>
      <c r="K51" s="72"/>
      <c r="L51" s="72"/>
      <c r="M51" s="72"/>
      <c r="N51" s="72"/>
      <c r="O51" s="73" t="str">
        <f t="shared" si="0"/>
        <v/>
      </c>
      <c r="P51" s="43" t="str">
        <f t="shared" si="1"/>
        <v/>
      </c>
      <c r="Q51" s="74" t="str">
        <f>IF(C51="","",IFERROR(ROUND(C51/VLOOKUP($D$1,LaborRates!$A:$D,4,0),2),""))</f>
        <v/>
      </c>
      <c r="R51" s="75" t="str">
        <f>IF(C51="","",IFERROR(VLOOKUP($D$1,LaborRates!$A:$D,3,0)-10,""))</f>
        <v/>
      </c>
      <c r="S51" s="43" t="str">
        <f t="shared" si="2"/>
        <v/>
      </c>
    </row>
    <row r="52" spans="2:19" ht="15" customHeight="1" x14ac:dyDescent="0.25">
      <c r="B52" s="71"/>
      <c r="C52" s="71"/>
      <c r="D52" s="71"/>
      <c r="E52" s="71"/>
      <c r="F52" s="71"/>
      <c r="G52" s="71"/>
      <c r="H52" s="71"/>
      <c r="I52" s="72"/>
      <c r="J52" s="72"/>
      <c r="K52" s="72"/>
      <c r="L52" s="72"/>
      <c r="M52" s="72"/>
      <c r="N52" s="72"/>
      <c r="O52" s="73" t="str">
        <f t="shared" si="0"/>
        <v/>
      </c>
      <c r="P52" s="43" t="str">
        <f t="shared" si="1"/>
        <v/>
      </c>
      <c r="Q52" s="74" t="str">
        <f>IF(C52="","",IFERROR(ROUND(C52/VLOOKUP($D$1,LaborRates!$A:$D,4,0),2),""))</f>
        <v/>
      </c>
      <c r="R52" s="75" t="str">
        <f>IF(C52="","",IFERROR(VLOOKUP($D$1,LaborRates!$A:$D,3,0)-10,""))</f>
        <v/>
      </c>
      <c r="S52" s="43" t="str">
        <f t="shared" si="2"/>
        <v/>
      </c>
    </row>
    <row r="53" spans="2:19" ht="15" customHeight="1" x14ac:dyDescent="0.25">
      <c r="B53" s="71"/>
      <c r="C53" s="71"/>
      <c r="D53" s="71"/>
      <c r="E53" s="71"/>
      <c r="F53" s="71"/>
      <c r="G53" s="71"/>
      <c r="H53" s="71"/>
      <c r="I53" s="72"/>
      <c r="J53" s="72"/>
      <c r="K53" s="72"/>
      <c r="L53" s="72"/>
      <c r="M53" s="72"/>
      <c r="N53" s="72"/>
      <c r="O53" s="73" t="str">
        <f t="shared" si="0"/>
        <v/>
      </c>
      <c r="P53" s="43" t="str">
        <f t="shared" si="1"/>
        <v/>
      </c>
      <c r="Q53" s="74" t="str">
        <f>IF(C53="","",IFERROR(ROUND(C53/VLOOKUP($D$1,LaborRates!$A:$D,4,0),2),""))</f>
        <v/>
      </c>
      <c r="R53" s="75" t="str">
        <f>IF(C53="","",IFERROR(VLOOKUP($D$1,LaborRates!$A:$D,3,0)-10,""))</f>
        <v/>
      </c>
      <c r="S53" s="43" t="str">
        <f t="shared" si="2"/>
        <v/>
      </c>
    </row>
    <row r="54" spans="2:19" ht="15" customHeight="1" x14ac:dyDescent="0.25">
      <c r="B54" s="71"/>
      <c r="C54" s="71"/>
      <c r="D54" s="71"/>
      <c r="E54" s="71"/>
      <c r="F54" s="71"/>
      <c r="G54" s="71"/>
      <c r="H54" s="71"/>
      <c r="I54" s="72"/>
      <c r="J54" s="72"/>
      <c r="K54" s="72"/>
      <c r="L54" s="72"/>
      <c r="M54" s="72"/>
      <c r="N54" s="72"/>
      <c r="O54" s="73" t="str">
        <f t="shared" si="0"/>
        <v/>
      </c>
      <c r="P54" s="43" t="str">
        <f t="shared" si="1"/>
        <v/>
      </c>
      <c r="Q54" s="74" t="str">
        <f>IF(C54="","",IFERROR(ROUND(C54/VLOOKUP($D$1,LaborRates!$A:$D,4,0),2),""))</f>
        <v/>
      </c>
      <c r="R54" s="75" t="str">
        <f>IF(C54="","",IFERROR(VLOOKUP($D$1,LaborRates!$A:$D,3,0)-10,""))</f>
        <v/>
      </c>
      <c r="S54" s="43" t="str">
        <f t="shared" si="2"/>
        <v/>
      </c>
    </row>
    <row r="55" spans="2:19" ht="15" customHeight="1" x14ac:dyDescent="0.25">
      <c r="B55" s="71"/>
      <c r="C55" s="71"/>
      <c r="D55" s="71"/>
      <c r="E55" s="71"/>
      <c r="F55" s="71"/>
      <c r="G55" s="71"/>
      <c r="H55" s="71"/>
      <c r="I55" s="72"/>
      <c r="J55" s="72"/>
      <c r="K55" s="72"/>
      <c r="L55" s="72"/>
      <c r="M55" s="72"/>
      <c r="N55" s="72"/>
      <c r="O55" s="73" t="str">
        <f t="shared" si="0"/>
        <v/>
      </c>
      <c r="P55" s="43" t="str">
        <f t="shared" si="1"/>
        <v/>
      </c>
      <c r="Q55" s="74" t="str">
        <f>IF(C55="","",IFERROR(ROUND(C55/VLOOKUP($D$1,LaborRates!$A:$D,4,0),2),""))</f>
        <v/>
      </c>
      <c r="R55" s="75" t="str">
        <f>IF(C55="","",IFERROR(VLOOKUP($D$1,LaborRates!$A:$D,3,0)-10,""))</f>
        <v/>
      </c>
      <c r="S55" s="43" t="str">
        <f t="shared" si="2"/>
        <v/>
      </c>
    </row>
    <row r="56" spans="2:19" ht="15" customHeight="1" x14ac:dyDescent="0.25">
      <c r="B56" s="71"/>
      <c r="C56" s="71"/>
      <c r="D56" s="71"/>
      <c r="E56" s="71"/>
      <c r="F56" s="71"/>
      <c r="G56" s="71"/>
      <c r="H56" s="71"/>
      <c r="I56" s="72"/>
      <c r="J56" s="72"/>
      <c r="K56" s="72"/>
      <c r="L56" s="72"/>
      <c r="M56" s="72"/>
      <c r="N56" s="72"/>
      <c r="O56" s="73" t="str">
        <f t="shared" si="0"/>
        <v/>
      </c>
      <c r="P56" s="43" t="str">
        <f t="shared" si="1"/>
        <v/>
      </c>
      <c r="Q56" s="74" t="str">
        <f>IF(C56="","",IFERROR(ROUND(C56/VLOOKUP($D$1,LaborRates!$A:$D,4,0),2),""))</f>
        <v/>
      </c>
      <c r="R56" s="75" t="str">
        <f>IF(C56="","",IFERROR(VLOOKUP($D$1,LaborRates!$A:$D,3,0)-10,""))</f>
        <v/>
      </c>
      <c r="S56" s="43" t="str">
        <f t="shared" si="2"/>
        <v/>
      </c>
    </row>
    <row r="57" spans="2:19" ht="15" customHeight="1" x14ac:dyDescent="0.25">
      <c r="B57" s="71"/>
      <c r="C57" s="71"/>
      <c r="D57" s="71"/>
      <c r="E57" s="71"/>
      <c r="F57" s="71"/>
      <c r="G57" s="71"/>
      <c r="H57" s="71"/>
      <c r="I57" s="72"/>
      <c r="J57" s="72"/>
      <c r="K57" s="72"/>
      <c r="L57" s="72"/>
      <c r="M57" s="72"/>
      <c r="N57" s="72"/>
      <c r="O57" s="73" t="str">
        <f t="shared" si="0"/>
        <v/>
      </c>
      <c r="P57" s="43" t="str">
        <f t="shared" si="1"/>
        <v/>
      </c>
      <c r="Q57" s="74" t="str">
        <f>IF(C57="","",IFERROR(ROUND(C57/VLOOKUP($D$1,LaborRates!$A:$D,4,0),2),""))</f>
        <v/>
      </c>
      <c r="R57" s="75" t="str">
        <f>IF(C57="","",IFERROR(VLOOKUP($D$1,LaborRates!$A:$D,3,0)-10,""))</f>
        <v/>
      </c>
      <c r="S57" s="43" t="str">
        <f t="shared" si="2"/>
        <v/>
      </c>
    </row>
    <row r="58" spans="2:19" ht="15" customHeight="1" x14ac:dyDescent="0.25">
      <c r="B58" s="71"/>
      <c r="C58" s="71"/>
      <c r="D58" s="71"/>
      <c r="E58" s="71"/>
      <c r="F58" s="71"/>
      <c r="G58" s="71"/>
      <c r="H58" s="71"/>
      <c r="I58" s="72"/>
      <c r="J58" s="72"/>
      <c r="K58" s="72"/>
      <c r="L58" s="72"/>
      <c r="M58" s="72"/>
      <c r="N58" s="72"/>
      <c r="O58" s="73" t="str">
        <f t="shared" si="0"/>
        <v/>
      </c>
      <c r="P58" s="43" t="str">
        <f t="shared" si="1"/>
        <v/>
      </c>
      <c r="Q58" s="74" t="str">
        <f>IF(C58="","",IFERROR(ROUND(C58/VLOOKUP($D$1,LaborRates!$A:$D,4,0),2),""))</f>
        <v/>
      </c>
      <c r="R58" s="75" t="str">
        <f>IF(C58="","",IFERROR(VLOOKUP($D$1,LaborRates!$A:$D,3,0)-10,""))</f>
        <v/>
      </c>
      <c r="S58" s="43" t="str">
        <f t="shared" si="2"/>
        <v/>
      </c>
    </row>
    <row r="59" spans="2:19" ht="15" customHeight="1" x14ac:dyDescent="0.25">
      <c r="B59" s="71"/>
      <c r="C59" s="71"/>
      <c r="D59" s="71"/>
      <c r="E59" s="71"/>
      <c r="F59" s="71"/>
      <c r="G59" s="71"/>
      <c r="H59" s="71"/>
      <c r="I59" s="72"/>
      <c r="J59" s="72"/>
      <c r="K59" s="72"/>
      <c r="L59" s="72"/>
      <c r="M59" s="72"/>
      <c r="N59" s="72"/>
      <c r="O59" s="73" t="str">
        <f t="shared" si="0"/>
        <v/>
      </c>
      <c r="P59" s="43" t="str">
        <f t="shared" si="1"/>
        <v/>
      </c>
      <c r="Q59" s="74" t="str">
        <f>IF(C59="","",IFERROR(ROUND(C59/VLOOKUP($D$1,LaborRates!$A:$D,4,0),2),""))</f>
        <v/>
      </c>
      <c r="R59" s="75" t="str">
        <f>IF(C59="","",IFERROR(VLOOKUP($D$1,LaborRates!$A:$D,3,0)-10,""))</f>
        <v/>
      </c>
      <c r="S59" s="43" t="str">
        <f t="shared" si="2"/>
        <v/>
      </c>
    </row>
    <row r="60" spans="2:19" ht="15" customHeight="1" x14ac:dyDescent="0.25">
      <c r="B60" s="71"/>
      <c r="C60" s="71"/>
      <c r="D60" s="71"/>
      <c r="E60" s="71"/>
      <c r="F60" s="71"/>
      <c r="G60" s="71"/>
      <c r="H60" s="71"/>
      <c r="I60" s="72"/>
      <c r="J60" s="72"/>
      <c r="K60" s="72"/>
      <c r="L60" s="72"/>
      <c r="M60" s="72"/>
      <c r="N60" s="72"/>
      <c r="O60" s="73" t="str">
        <f t="shared" si="0"/>
        <v/>
      </c>
      <c r="P60" s="43" t="str">
        <f t="shared" si="1"/>
        <v/>
      </c>
      <c r="Q60" s="74" t="str">
        <f>IF(C60="","",IFERROR(ROUND(C60/VLOOKUP($D$1,LaborRates!$A:$D,4,0),2),""))</f>
        <v/>
      </c>
      <c r="R60" s="75" t="str">
        <f>IF(C60="","",IFERROR(VLOOKUP($D$1,LaborRates!$A:$D,3,0)-10,""))</f>
        <v/>
      </c>
      <c r="S60" s="43" t="str">
        <f t="shared" si="2"/>
        <v/>
      </c>
    </row>
    <row r="61" spans="2:19" ht="15" customHeight="1" x14ac:dyDescent="0.25">
      <c r="B61" s="71"/>
      <c r="C61" s="71"/>
      <c r="D61" s="71"/>
      <c r="E61" s="71"/>
      <c r="F61" s="71"/>
      <c r="G61" s="71"/>
      <c r="H61" s="71"/>
      <c r="I61" s="72"/>
      <c r="J61" s="72"/>
      <c r="K61" s="72"/>
      <c r="L61" s="72"/>
      <c r="M61" s="72"/>
      <c r="N61" s="72"/>
      <c r="O61" s="73" t="str">
        <f t="shared" si="0"/>
        <v/>
      </c>
      <c r="P61" s="43" t="str">
        <f t="shared" si="1"/>
        <v/>
      </c>
      <c r="Q61" s="74" t="str">
        <f>IF(C61="","",IFERROR(ROUND(C61/VLOOKUP($D$1,LaborRates!$A:$D,4,0),2),""))</f>
        <v/>
      </c>
      <c r="R61" s="75" t="str">
        <f>IF(C61="","",IFERROR(VLOOKUP($D$1,LaborRates!$A:$D,3,0)-10,""))</f>
        <v/>
      </c>
      <c r="S61" s="43" t="str">
        <f t="shared" si="2"/>
        <v/>
      </c>
    </row>
    <row r="62" spans="2:19" ht="15" customHeight="1" x14ac:dyDescent="0.25">
      <c r="B62" s="71"/>
      <c r="C62" s="71"/>
      <c r="D62" s="71"/>
      <c r="E62" s="71"/>
      <c r="F62" s="71"/>
      <c r="G62" s="71"/>
      <c r="H62" s="71"/>
      <c r="I62" s="72"/>
      <c r="J62" s="72"/>
      <c r="K62" s="72"/>
      <c r="L62" s="72"/>
      <c r="M62" s="72"/>
      <c r="N62" s="72"/>
      <c r="O62" s="73" t="str">
        <f t="shared" si="0"/>
        <v/>
      </c>
      <c r="P62" s="43" t="str">
        <f t="shared" si="1"/>
        <v/>
      </c>
      <c r="Q62" s="74" t="str">
        <f>IF(C62="","",IFERROR(ROUND(C62/VLOOKUP($D$1,LaborRates!$A:$D,4,0),2),""))</f>
        <v/>
      </c>
      <c r="R62" s="75" t="str">
        <f>IF(C62="","",IFERROR(VLOOKUP($D$1,LaborRates!$A:$D,3,0)-10,""))</f>
        <v/>
      </c>
      <c r="S62" s="43" t="str">
        <f t="shared" si="2"/>
        <v/>
      </c>
    </row>
    <row r="63" spans="2:19" ht="15" customHeight="1" x14ac:dyDescent="0.25">
      <c r="B63" s="71"/>
      <c r="C63" s="71"/>
      <c r="D63" s="71"/>
      <c r="E63" s="71"/>
      <c r="F63" s="71"/>
      <c r="G63" s="71"/>
      <c r="H63" s="71"/>
      <c r="I63" s="72"/>
      <c r="J63" s="72"/>
      <c r="K63" s="72"/>
      <c r="L63" s="72"/>
      <c r="M63" s="72"/>
      <c r="N63" s="72"/>
      <c r="O63" s="73" t="str">
        <f t="shared" si="0"/>
        <v/>
      </c>
      <c r="P63" s="43" t="str">
        <f t="shared" si="1"/>
        <v/>
      </c>
      <c r="Q63" s="74" t="str">
        <f>IF(C63="","",IFERROR(ROUND(C63/VLOOKUP($D$1,LaborRates!$A:$D,4,0),2),""))</f>
        <v/>
      </c>
      <c r="R63" s="75" t="str">
        <f>IF(C63="","",IFERROR(VLOOKUP($D$1,LaborRates!$A:$D,3,0)-10,""))</f>
        <v/>
      </c>
      <c r="S63" s="43" t="str">
        <f t="shared" si="2"/>
        <v/>
      </c>
    </row>
    <row r="64" spans="2:19" ht="15" customHeight="1" x14ac:dyDescent="0.25">
      <c r="B64" s="71"/>
      <c r="C64" s="71"/>
      <c r="D64" s="71"/>
      <c r="E64" s="71"/>
      <c r="F64" s="71"/>
      <c r="G64" s="71"/>
      <c r="H64" s="71"/>
      <c r="I64" s="72"/>
      <c r="J64" s="72"/>
      <c r="K64" s="72"/>
      <c r="L64" s="72"/>
      <c r="M64" s="72"/>
      <c r="N64" s="72"/>
      <c r="O64" s="73" t="str">
        <f t="shared" si="0"/>
        <v/>
      </c>
      <c r="P64" s="43" t="str">
        <f t="shared" si="1"/>
        <v/>
      </c>
      <c r="Q64" s="74" t="str">
        <f>IF(C64="","",IFERROR(ROUND(C64/VLOOKUP($D$1,LaborRates!$A:$D,4,0),2),""))</f>
        <v/>
      </c>
      <c r="R64" s="75" t="str">
        <f>IF(C64="","",IFERROR(VLOOKUP($D$1,LaborRates!$A:$D,3,0)-10,""))</f>
        <v/>
      </c>
      <c r="S64" s="43" t="str">
        <f t="shared" si="2"/>
        <v/>
      </c>
    </row>
    <row r="65" spans="2:19" ht="15" customHeight="1" x14ac:dyDescent="0.25">
      <c r="B65" s="71"/>
      <c r="C65" s="71"/>
      <c r="D65" s="71"/>
      <c r="E65" s="71"/>
      <c r="F65" s="71"/>
      <c r="G65" s="71"/>
      <c r="H65" s="71"/>
      <c r="I65" s="72"/>
      <c r="J65" s="72"/>
      <c r="K65" s="72"/>
      <c r="L65" s="72"/>
      <c r="M65" s="72"/>
      <c r="N65" s="72"/>
      <c r="O65" s="73" t="str">
        <f t="shared" si="0"/>
        <v/>
      </c>
      <c r="P65" s="43" t="str">
        <f t="shared" si="1"/>
        <v/>
      </c>
      <c r="Q65" s="74" t="str">
        <f>IF(C65="","",IFERROR(ROUND(C65/VLOOKUP($D$1,LaborRates!$A:$D,4,0),2),""))</f>
        <v/>
      </c>
      <c r="R65" s="75" t="str">
        <f>IF(C65="","",IFERROR(VLOOKUP($D$1,LaborRates!$A:$D,3,0)-10,""))</f>
        <v/>
      </c>
      <c r="S65" s="43" t="str">
        <f t="shared" si="2"/>
        <v/>
      </c>
    </row>
    <row r="66" spans="2:19" ht="15" customHeight="1" x14ac:dyDescent="0.25">
      <c r="B66" s="71"/>
      <c r="C66" s="71"/>
      <c r="D66" s="71"/>
      <c r="E66" s="71"/>
      <c r="F66" s="71"/>
      <c r="G66" s="71"/>
      <c r="H66" s="71"/>
      <c r="I66" s="72"/>
      <c r="J66" s="72"/>
      <c r="K66" s="72"/>
      <c r="L66" s="72"/>
      <c r="M66" s="72"/>
      <c r="N66" s="72"/>
      <c r="O66" s="73" t="str">
        <f t="shared" si="0"/>
        <v/>
      </c>
      <c r="P66" s="43" t="str">
        <f t="shared" si="1"/>
        <v/>
      </c>
      <c r="Q66" s="74" t="str">
        <f>IF(C66="","",IFERROR(ROUND(C66/VLOOKUP($D$1,LaborRates!$A:$D,4,0),2),""))</f>
        <v/>
      </c>
      <c r="R66" s="75" t="str">
        <f>IF(C66="","",IFERROR(VLOOKUP($D$1,LaborRates!$A:$D,3,0)-10,""))</f>
        <v/>
      </c>
      <c r="S66" s="43" t="str">
        <f t="shared" si="2"/>
        <v/>
      </c>
    </row>
    <row r="67" spans="2:19" ht="15" customHeight="1" x14ac:dyDescent="0.25">
      <c r="B67" s="71"/>
      <c r="C67" s="71"/>
      <c r="D67" s="71"/>
      <c r="E67" s="71"/>
      <c r="F67" s="71"/>
      <c r="G67" s="71"/>
      <c r="H67" s="71"/>
      <c r="I67" s="72"/>
      <c r="J67" s="72"/>
      <c r="K67" s="72"/>
      <c r="L67" s="72"/>
      <c r="M67" s="72"/>
      <c r="N67" s="72"/>
      <c r="O67" s="73" t="str">
        <f t="shared" si="0"/>
        <v/>
      </c>
      <c r="P67" s="43" t="str">
        <f t="shared" si="1"/>
        <v/>
      </c>
      <c r="Q67" s="74" t="str">
        <f>IF(C67="","",IFERROR(ROUND(C67/VLOOKUP($D$1,LaborRates!$A:$D,4,0),2),""))</f>
        <v/>
      </c>
      <c r="R67" s="75" t="str">
        <f>IF(C67="","",IFERROR(VLOOKUP($D$1,LaborRates!$A:$D,3,0)-10,""))</f>
        <v/>
      </c>
      <c r="S67" s="43" t="str">
        <f t="shared" si="2"/>
        <v/>
      </c>
    </row>
    <row r="68" spans="2:19" ht="15" customHeight="1" x14ac:dyDescent="0.25">
      <c r="B68" s="71"/>
      <c r="C68" s="71"/>
      <c r="D68" s="71"/>
      <c r="E68" s="71"/>
      <c r="F68" s="71"/>
      <c r="G68" s="71"/>
      <c r="H68" s="71"/>
      <c r="I68" s="72"/>
      <c r="J68" s="72"/>
      <c r="K68" s="72"/>
      <c r="L68" s="72"/>
      <c r="M68" s="72"/>
      <c r="N68" s="72"/>
      <c r="O68" s="73" t="str">
        <f t="shared" si="0"/>
        <v/>
      </c>
      <c r="P68" s="43" t="str">
        <f t="shared" si="1"/>
        <v/>
      </c>
      <c r="Q68" s="74" t="str">
        <f>IF(C68="","",IFERROR(ROUND(C68/VLOOKUP($D$1,LaborRates!$A:$D,4,0),2),""))</f>
        <v/>
      </c>
      <c r="R68" s="75" t="str">
        <f>IF(C68="","",IFERROR(VLOOKUP($D$1,LaborRates!$A:$D,3,0)-10,""))</f>
        <v/>
      </c>
      <c r="S68" s="43" t="str">
        <f t="shared" si="2"/>
        <v/>
      </c>
    </row>
    <row r="69" spans="2:19" ht="15" customHeight="1" x14ac:dyDescent="0.25">
      <c r="B69" s="71"/>
      <c r="C69" s="71"/>
      <c r="D69" s="71"/>
      <c r="E69" s="71"/>
      <c r="F69" s="71"/>
      <c r="G69" s="71"/>
      <c r="H69" s="71"/>
      <c r="I69" s="72"/>
      <c r="J69" s="72"/>
      <c r="K69" s="72"/>
      <c r="L69" s="72"/>
      <c r="M69" s="72"/>
      <c r="N69" s="72"/>
      <c r="O69" s="73" t="str">
        <f t="shared" si="0"/>
        <v/>
      </c>
      <c r="P69" s="43" t="str">
        <f t="shared" si="1"/>
        <v/>
      </c>
      <c r="Q69" s="74" t="str">
        <f>IF(C69="","",IFERROR(ROUND(C69/VLOOKUP($D$1,LaborRates!$A:$D,4,0),2),""))</f>
        <v/>
      </c>
      <c r="R69" s="75" t="str">
        <f>IF(C69="","",IFERROR(VLOOKUP($D$1,LaborRates!$A:$D,3,0)-10,""))</f>
        <v/>
      </c>
      <c r="S69" s="43" t="str">
        <f t="shared" si="2"/>
        <v/>
      </c>
    </row>
    <row r="70" spans="2:19" ht="15" customHeight="1" x14ac:dyDescent="0.25">
      <c r="B70" s="71"/>
      <c r="C70" s="71"/>
      <c r="D70" s="71"/>
      <c r="E70" s="71"/>
      <c r="F70" s="71"/>
      <c r="G70" s="71"/>
      <c r="H70" s="71"/>
      <c r="I70" s="72"/>
      <c r="J70" s="72"/>
      <c r="K70" s="72"/>
      <c r="L70" s="72"/>
      <c r="M70" s="72"/>
      <c r="N70" s="72"/>
      <c r="O70" s="73" t="str">
        <f t="shared" si="0"/>
        <v/>
      </c>
      <c r="P70" s="43" t="str">
        <f t="shared" si="1"/>
        <v/>
      </c>
      <c r="Q70" s="74" t="str">
        <f>IF(C70="","",IFERROR(ROUND(C70/VLOOKUP($D$1,LaborRates!$A:$D,4,0),2),""))</f>
        <v/>
      </c>
      <c r="R70" s="75" t="str">
        <f>IF(C70="","",IFERROR(VLOOKUP($D$1,LaborRates!$A:$D,3,0)-10,""))</f>
        <v/>
      </c>
      <c r="S70" s="43" t="str">
        <f t="shared" si="2"/>
        <v/>
      </c>
    </row>
    <row r="71" spans="2:19" ht="15" customHeight="1" x14ac:dyDescent="0.25">
      <c r="B71" s="71"/>
      <c r="C71" s="71"/>
      <c r="D71" s="71"/>
      <c r="E71" s="71"/>
      <c r="F71" s="71"/>
      <c r="G71" s="71"/>
      <c r="H71" s="71"/>
      <c r="I71" s="72"/>
      <c r="J71" s="72"/>
      <c r="K71" s="72"/>
      <c r="L71" s="72"/>
      <c r="M71" s="72"/>
      <c r="N71" s="72"/>
      <c r="O71" s="73" t="str">
        <f t="shared" si="0"/>
        <v/>
      </c>
      <c r="P71" s="43" t="str">
        <f t="shared" si="1"/>
        <v/>
      </c>
      <c r="Q71" s="74" t="str">
        <f>IF(C71="","",IFERROR(ROUND(C71/VLOOKUP($D$1,LaborRates!$A:$D,4,0),2),""))</f>
        <v/>
      </c>
      <c r="R71" s="75" t="str">
        <f>IF(C71="","",IFERROR(VLOOKUP($D$1,LaborRates!$A:$D,3,0)-10,""))</f>
        <v/>
      </c>
      <c r="S71" s="43" t="str">
        <f t="shared" si="2"/>
        <v/>
      </c>
    </row>
    <row r="72" spans="2:19" ht="15" customHeight="1" x14ac:dyDescent="0.25">
      <c r="B72" s="71"/>
      <c r="C72" s="71"/>
      <c r="D72" s="71"/>
      <c r="E72" s="71"/>
      <c r="F72" s="71"/>
      <c r="G72" s="71"/>
      <c r="H72" s="71"/>
      <c r="I72" s="72"/>
      <c r="J72" s="72"/>
      <c r="K72" s="72"/>
      <c r="L72" s="72"/>
      <c r="M72" s="72"/>
      <c r="N72" s="72"/>
      <c r="O72" s="73" t="str">
        <f t="shared" si="0"/>
        <v/>
      </c>
      <c r="P72" s="43" t="str">
        <f t="shared" si="1"/>
        <v/>
      </c>
      <c r="Q72" s="74" t="str">
        <f>IF(C72="","",IFERROR(ROUND(C72/VLOOKUP($D$1,LaborRates!$A:$D,4,0),2),""))</f>
        <v/>
      </c>
      <c r="R72" s="75" t="str">
        <f>IF(C72="","",IFERROR(VLOOKUP($D$1,LaborRates!$A:$D,3,0)-10,""))</f>
        <v/>
      </c>
      <c r="S72" s="43" t="str">
        <f t="shared" si="2"/>
        <v/>
      </c>
    </row>
    <row r="73" spans="2:19" ht="15" customHeight="1" x14ac:dyDescent="0.25">
      <c r="B73" s="71"/>
      <c r="C73" s="71"/>
      <c r="D73" s="71"/>
      <c r="E73" s="71"/>
      <c r="F73" s="71"/>
      <c r="G73" s="71"/>
      <c r="H73" s="71"/>
      <c r="I73" s="72"/>
      <c r="J73" s="72"/>
      <c r="K73" s="72"/>
      <c r="L73" s="72"/>
      <c r="M73" s="72"/>
      <c r="N73" s="72"/>
      <c r="O73" s="73" t="str">
        <f t="shared" si="0"/>
        <v/>
      </c>
      <c r="P73" s="43" t="str">
        <f t="shared" si="1"/>
        <v/>
      </c>
      <c r="Q73" s="74" t="str">
        <f>IF(C73="","",IFERROR(ROUND(C73/VLOOKUP($D$1,LaborRates!$A:$D,4,0),2),""))</f>
        <v/>
      </c>
      <c r="R73" s="75" t="str">
        <f>IF(C73="","",IFERROR(VLOOKUP($D$1,LaborRates!$A:$D,3,0)-10,""))</f>
        <v/>
      </c>
      <c r="S73" s="43" t="str">
        <f t="shared" si="2"/>
        <v/>
      </c>
    </row>
    <row r="74" spans="2:19" ht="15" customHeight="1" x14ac:dyDescent="0.25">
      <c r="B74" s="71"/>
      <c r="C74" s="71"/>
      <c r="D74" s="71"/>
      <c r="E74" s="71"/>
      <c r="F74" s="71"/>
      <c r="G74" s="71"/>
      <c r="H74" s="71"/>
      <c r="I74" s="72"/>
      <c r="J74" s="72"/>
      <c r="K74" s="72"/>
      <c r="L74" s="72"/>
      <c r="M74" s="72"/>
      <c r="N74" s="72"/>
      <c r="O74" s="73" t="str">
        <f t="shared" si="0"/>
        <v/>
      </c>
      <c r="P74" s="43" t="str">
        <f t="shared" si="1"/>
        <v/>
      </c>
      <c r="Q74" s="74" t="str">
        <f>IF(C74="","",IFERROR(ROUND(C74/VLOOKUP($D$1,LaborRates!$A:$D,4,0),2),""))</f>
        <v/>
      </c>
      <c r="R74" s="75" t="str">
        <f>IF(C74="","",IFERROR(VLOOKUP($D$1,LaborRates!$A:$D,3,0)-10,""))</f>
        <v/>
      </c>
      <c r="S74" s="43" t="str">
        <f t="shared" si="2"/>
        <v/>
      </c>
    </row>
    <row r="75" spans="2:19" ht="15" customHeight="1" x14ac:dyDescent="0.25">
      <c r="B75" s="71"/>
      <c r="C75" s="71"/>
      <c r="D75" s="71"/>
      <c r="E75" s="71"/>
      <c r="F75" s="71"/>
      <c r="G75" s="71"/>
      <c r="H75" s="71"/>
      <c r="I75" s="72"/>
      <c r="J75" s="72"/>
      <c r="K75" s="72"/>
      <c r="L75" s="72"/>
      <c r="M75" s="72"/>
      <c r="N75" s="72"/>
      <c r="O75" s="73" t="str">
        <f t="shared" si="0"/>
        <v/>
      </c>
      <c r="P75" s="43" t="str">
        <f t="shared" si="1"/>
        <v/>
      </c>
      <c r="Q75" s="74" t="str">
        <f>IF(C75="","",IFERROR(ROUND(C75/VLOOKUP($D$1,LaborRates!$A:$D,4,0),2),""))</f>
        <v/>
      </c>
      <c r="R75" s="75" t="str">
        <f>IF(C75="","",IFERROR(VLOOKUP($D$1,LaborRates!$A:$D,3,0)-10,""))</f>
        <v/>
      </c>
      <c r="S75" s="43" t="str">
        <f t="shared" si="2"/>
        <v/>
      </c>
    </row>
    <row r="76" spans="2:19" ht="15" customHeight="1" x14ac:dyDescent="0.25">
      <c r="B76" s="71"/>
      <c r="C76" s="71"/>
      <c r="D76" s="71"/>
      <c r="E76" s="71"/>
      <c r="F76" s="71"/>
      <c r="G76" s="71"/>
      <c r="H76" s="71"/>
      <c r="I76" s="72"/>
      <c r="J76" s="72"/>
      <c r="K76" s="72"/>
      <c r="L76" s="72"/>
      <c r="M76" s="72"/>
      <c r="N76" s="72"/>
      <c r="O76" s="73" t="str">
        <f t="shared" si="0"/>
        <v/>
      </c>
      <c r="P76" s="43" t="str">
        <f t="shared" si="1"/>
        <v/>
      </c>
      <c r="Q76" s="74" t="str">
        <f>IF(C76="","",IFERROR(ROUND(C76/VLOOKUP($D$1,LaborRates!$A:$D,4,0),2),""))</f>
        <v/>
      </c>
      <c r="R76" s="75" t="str">
        <f>IF(C76="","",IFERROR(VLOOKUP($D$1,LaborRates!$A:$D,3,0)-10,""))</f>
        <v/>
      </c>
      <c r="S76" s="43" t="str">
        <f t="shared" si="2"/>
        <v/>
      </c>
    </row>
    <row r="77" spans="2:19" ht="15" customHeight="1" x14ac:dyDescent="0.25">
      <c r="B77" s="71"/>
      <c r="C77" s="71"/>
      <c r="D77" s="71"/>
      <c r="E77" s="71"/>
      <c r="F77" s="71"/>
      <c r="G77" s="71"/>
      <c r="H77" s="71"/>
      <c r="I77" s="72"/>
      <c r="J77" s="72"/>
      <c r="K77" s="72"/>
      <c r="L77" s="72"/>
      <c r="M77" s="72"/>
      <c r="N77" s="72"/>
      <c r="O77" s="73" t="str">
        <f t="shared" si="0"/>
        <v/>
      </c>
      <c r="P77" s="43" t="str">
        <f t="shared" si="1"/>
        <v/>
      </c>
      <c r="Q77" s="74" t="str">
        <f>IF(C77="","",IFERROR(ROUND(C77/VLOOKUP($D$1,LaborRates!$A:$D,4,0),2),""))</f>
        <v/>
      </c>
      <c r="R77" s="75" t="str">
        <f>IF(C77="","",IFERROR(VLOOKUP($D$1,LaborRates!$A:$D,3,0)-10,""))</f>
        <v/>
      </c>
      <c r="S77" s="43" t="str">
        <f t="shared" si="2"/>
        <v/>
      </c>
    </row>
    <row r="78" spans="2:19" ht="15" customHeight="1" x14ac:dyDescent="0.25">
      <c r="B78" s="71"/>
      <c r="C78" s="71"/>
      <c r="D78" s="71"/>
      <c r="E78" s="71"/>
      <c r="F78" s="71"/>
      <c r="G78" s="71"/>
      <c r="H78" s="71"/>
      <c r="I78" s="72"/>
      <c r="J78" s="72"/>
      <c r="K78" s="72"/>
      <c r="L78" s="72"/>
      <c r="M78" s="72"/>
      <c r="N78" s="72"/>
      <c r="O78" s="73" t="str">
        <f t="shared" si="0"/>
        <v/>
      </c>
      <c r="P78" s="43" t="str">
        <f t="shared" si="1"/>
        <v/>
      </c>
      <c r="Q78" s="74" t="str">
        <f>IF(C78="","",IFERROR(ROUND(C78/VLOOKUP($D$1,LaborRates!$A:$D,4,0),2),""))</f>
        <v/>
      </c>
      <c r="R78" s="75" t="str">
        <f>IF(C78="","",IFERROR(VLOOKUP($D$1,LaborRates!$A:$D,3,0)-10,""))</f>
        <v/>
      </c>
      <c r="S78" s="43" t="str">
        <f t="shared" si="2"/>
        <v/>
      </c>
    </row>
    <row r="79" spans="2:19" ht="15" customHeight="1" x14ac:dyDescent="0.25">
      <c r="B79" s="71"/>
      <c r="C79" s="71"/>
      <c r="D79" s="71"/>
      <c r="E79" s="71"/>
      <c r="F79" s="71"/>
      <c r="G79" s="71"/>
      <c r="H79" s="71"/>
      <c r="I79" s="72"/>
      <c r="J79" s="72"/>
      <c r="K79" s="72"/>
      <c r="L79" s="72"/>
      <c r="M79" s="72"/>
      <c r="N79" s="72"/>
      <c r="O79" s="73" t="str">
        <f t="shared" ref="O79:O142" si="3">IF(B79&lt;&gt;"",$P$9,"")</f>
        <v/>
      </c>
      <c r="P79" s="43" t="str">
        <f t="shared" ref="P79:P142" si="4">IF(B79&lt;&gt;"",ROUND(B79*(1+O79),2),"")</f>
        <v/>
      </c>
      <c r="Q79" s="74" t="str">
        <f>IF(C79="","",IFERROR(ROUND(C79/VLOOKUP($D$1,LaborRates!$A:$D,4,0),2),""))</f>
        <v/>
      </c>
      <c r="R79" s="75" t="str">
        <f>IF(C79="","",IFERROR(VLOOKUP($D$1,LaborRates!$A:$D,3,0)-10,""))</f>
        <v/>
      </c>
      <c r="S79" s="43" t="str">
        <f t="shared" ref="S79:S142" si="5">IF(OR(Q79="",R79=""),"",ROUND(Q79*R79,2))</f>
        <v/>
      </c>
    </row>
    <row r="80" spans="2:19" ht="15" customHeight="1" x14ac:dyDescent="0.25">
      <c r="B80" s="71"/>
      <c r="C80" s="71"/>
      <c r="D80" s="71"/>
      <c r="E80" s="71"/>
      <c r="F80" s="71"/>
      <c r="G80" s="71"/>
      <c r="H80" s="71"/>
      <c r="I80" s="72"/>
      <c r="J80" s="72"/>
      <c r="K80" s="72"/>
      <c r="L80" s="72"/>
      <c r="M80" s="72"/>
      <c r="N80" s="72"/>
      <c r="O80" s="73" t="str">
        <f t="shared" si="3"/>
        <v/>
      </c>
      <c r="P80" s="43" t="str">
        <f t="shared" si="4"/>
        <v/>
      </c>
      <c r="Q80" s="74" t="str">
        <f>IF(C80="","",IFERROR(ROUND(C80/VLOOKUP($D$1,LaborRates!$A:$D,4,0),2),""))</f>
        <v/>
      </c>
      <c r="R80" s="75" t="str">
        <f>IF(C80="","",IFERROR(VLOOKUP($D$1,LaborRates!$A:$D,3,0)-10,""))</f>
        <v/>
      </c>
      <c r="S80" s="43" t="str">
        <f t="shared" si="5"/>
        <v/>
      </c>
    </row>
    <row r="81" spans="2:19" ht="15" customHeight="1" x14ac:dyDescent="0.25">
      <c r="B81" s="71"/>
      <c r="C81" s="71"/>
      <c r="D81" s="71"/>
      <c r="E81" s="71"/>
      <c r="F81" s="71"/>
      <c r="G81" s="71"/>
      <c r="H81" s="71"/>
      <c r="I81" s="72"/>
      <c r="J81" s="72"/>
      <c r="K81" s="72"/>
      <c r="L81" s="72"/>
      <c r="M81" s="72"/>
      <c r="N81" s="72"/>
      <c r="O81" s="73" t="str">
        <f t="shared" si="3"/>
        <v/>
      </c>
      <c r="P81" s="43" t="str">
        <f t="shared" si="4"/>
        <v/>
      </c>
      <c r="Q81" s="74" t="str">
        <f>IF(C81="","",IFERROR(ROUND(C81/VLOOKUP($D$1,LaborRates!$A:$D,4,0),2),""))</f>
        <v/>
      </c>
      <c r="R81" s="75" t="str">
        <f>IF(C81="","",IFERROR(VLOOKUP($D$1,LaborRates!$A:$D,3,0)-10,""))</f>
        <v/>
      </c>
      <c r="S81" s="43" t="str">
        <f t="shared" si="5"/>
        <v/>
      </c>
    </row>
    <row r="82" spans="2:19" ht="15" customHeight="1" x14ac:dyDescent="0.25">
      <c r="B82" s="71"/>
      <c r="C82" s="71"/>
      <c r="D82" s="71"/>
      <c r="E82" s="71"/>
      <c r="F82" s="71"/>
      <c r="G82" s="71"/>
      <c r="H82" s="71"/>
      <c r="I82" s="72"/>
      <c r="J82" s="72"/>
      <c r="K82" s="72"/>
      <c r="L82" s="72"/>
      <c r="M82" s="72"/>
      <c r="N82" s="72"/>
      <c r="O82" s="73" t="str">
        <f t="shared" si="3"/>
        <v/>
      </c>
      <c r="P82" s="43" t="str">
        <f t="shared" si="4"/>
        <v/>
      </c>
      <c r="Q82" s="74" t="str">
        <f>IF(C82="","",IFERROR(ROUND(C82/VLOOKUP($D$1,LaborRates!$A:$D,4,0),2),""))</f>
        <v/>
      </c>
      <c r="R82" s="75" t="str">
        <f>IF(C82="","",IFERROR(VLOOKUP($D$1,LaborRates!$A:$D,3,0)-10,""))</f>
        <v/>
      </c>
      <c r="S82" s="43" t="str">
        <f t="shared" si="5"/>
        <v/>
      </c>
    </row>
    <row r="83" spans="2:19" ht="15" customHeight="1" x14ac:dyDescent="0.25">
      <c r="B83" s="71"/>
      <c r="C83" s="71"/>
      <c r="D83" s="71"/>
      <c r="E83" s="71"/>
      <c r="F83" s="71"/>
      <c r="G83" s="71"/>
      <c r="H83" s="71"/>
      <c r="I83" s="72"/>
      <c r="J83" s="72"/>
      <c r="K83" s="72"/>
      <c r="L83" s="72"/>
      <c r="M83" s="72"/>
      <c r="N83" s="72"/>
      <c r="O83" s="73" t="str">
        <f t="shared" si="3"/>
        <v/>
      </c>
      <c r="P83" s="43" t="str">
        <f t="shared" si="4"/>
        <v/>
      </c>
      <c r="Q83" s="74" t="str">
        <f>IF(C83="","",IFERROR(ROUND(C83/VLOOKUP($D$1,LaborRates!$A:$D,4,0),2),""))</f>
        <v/>
      </c>
      <c r="R83" s="75" t="str">
        <f>IF(C83="","",IFERROR(VLOOKUP($D$1,LaborRates!$A:$D,3,0)-10,""))</f>
        <v/>
      </c>
      <c r="S83" s="43" t="str">
        <f t="shared" si="5"/>
        <v/>
      </c>
    </row>
    <row r="84" spans="2:19" ht="15" customHeight="1" x14ac:dyDescent="0.25">
      <c r="B84" s="71"/>
      <c r="C84" s="71"/>
      <c r="D84" s="71"/>
      <c r="E84" s="71"/>
      <c r="F84" s="71"/>
      <c r="G84" s="71"/>
      <c r="H84" s="71"/>
      <c r="I84" s="72"/>
      <c r="J84" s="72"/>
      <c r="K84" s="72"/>
      <c r="L84" s="72"/>
      <c r="M84" s="72"/>
      <c r="N84" s="72"/>
      <c r="O84" s="73" t="str">
        <f t="shared" si="3"/>
        <v/>
      </c>
      <c r="P84" s="43" t="str">
        <f t="shared" si="4"/>
        <v/>
      </c>
      <c r="Q84" s="74" t="str">
        <f>IF(C84="","",IFERROR(ROUND(C84/VLOOKUP($D$1,LaborRates!$A:$D,4,0),2),""))</f>
        <v/>
      </c>
      <c r="R84" s="75" t="str">
        <f>IF(C84="","",IFERROR(VLOOKUP($D$1,LaborRates!$A:$D,3,0)-10,""))</f>
        <v/>
      </c>
      <c r="S84" s="43" t="str">
        <f t="shared" si="5"/>
        <v/>
      </c>
    </row>
    <row r="85" spans="2:19" ht="15" customHeight="1" x14ac:dyDescent="0.25">
      <c r="B85" s="71"/>
      <c r="C85" s="71"/>
      <c r="D85" s="71"/>
      <c r="E85" s="71"/>
      <c r="F85" s="71"/>
      <c r="G85" s="71"/>
      <c r="H85" s="71"/>
      <c r="I85" s="72"/>
      <c r="J85" s="72"/>
      <c r="K85" s="72"/>
      <c r="L85" s="72"/>
      <c r="M85" s="72"/>
      <c r="N85" s="72"/>
      <c r="O85" s="73" t="str">
        <f t="shared" si="3"/>
        <v/>
      </c>
      <c r="P85" s="43" t="str">
        <f t="shared" si="4"/>
        <v/>
      </c>
      <c r="Q85" s="74" t="str">
        <f>IF(C85="","",IFERROR(ROUND(C85/VLOOKUP($D$1,LaborRates!$A:$D,4,0),2),""))</f>
        <v/>
      </c>
      <c r="R85" s="75" t="str">
        <f>IF(C85="","",IFERROR(VLOOKUP($D$1,LaborRates!$A:$D,3,0)-10,""))</f>
        <v/>
      </c>
      <c r="S85" s="43" t="str">
        <f t="shared" si="5"/>
        <v/>
      </c>
    </row>
    <row r="86" spans="2:19" ht="15" customHeight="1" x14ac:dyDescent="0.25">
      <c r="B86" s="71"/>
      <c r="C86" s="71"/>
      <c r="D86" s="71"/>
      <c r="E86" s="71"/>
      <c r="F86" s="71"/>
      <c r="G86" s="71"/>
      <c r="H86" s="71"/>
      <c r="I86" s="72"/>
      <c r="J86" s="72"/>
      <c r="K86" s="72"/>
      <c r="L86" s="72"/>
      <c r="M86" s="72"/>
      <c r="N86" s="72"/>
      <c r="O86" s="73" t="str">
        <f t="shared" si="3"/>
        <v/>
      </c>
      <c r="P86" s="43" t="str">
        <f t="shared" si="4"/>
        <v/>
      </c>
      <c r="Q86" s="74" t="str">
        <f>IF(C86="","",IFERROR(ROUND(C86/VLOOKUP($D$1,LaborRates!$A:$D,4,0),2),""))</f>
        <v/>
      </c>
      <c r="R86" s="75" t="str">
        <f>IF(C86="","",IFERROR(VLOOKUP($D$1,LaborRates!$A:$D,3,0)-10,""))</f>
        <v/>
      </c>
      <c r="S86" s="43" t="str">
        <f t="shared" si="5"/>
        <v/>
      </c>
    </row>
    <row r="87" spans="2:19" ht="15" customHeight="1" x14ac:dyDescent="0.25">
      <c r="B87" s="71"/>
      <c r="C87" s="71"/>
      <c r="D87" s="71"/>
      <c r="E87" s="71"/>
      <c r="F87" s="71"/>
      <c r="G87" s="71"/>
      <c r="H87" s="71"/>
      <c r="I87" s="72"/>
      <c r="J87" s="72"/>
      <c r="K87" s="72"/>
      <c r="L87" s="72"/>
      <c r="M87" s="72"/>
      <c r="N87" s="72"/>
      <c r="O87" s="73" t="str">
        <f t="shared" si="3"/>
        <v/>
      </c>
      <c r="P87" s="43" t="str">
        <f t="shared" si="4"/>
        <v/>
      </c>
      <c r="Q87" s="74" t="str">
        <f>IF(C87="","",IFERROR(ROUND(C87/VLOOKUP($D$1,LaborRates!$A:$D,4,0),2),""))</f>
        <v/>
      </c>
      <c r="R87" s="75" t="str">
        <f>IF(C87="","",IFERROR(VLOOKUP($D$1,LaborRates!$A:$D,3,0)-10,""))</f>
        <v/>
      </c>
      <c r="S87" s="43" t="str">
        <f t="shared" si="5"/>
        <v/>
      </c>
    </row>
    <row r="88" spans="2:19" ht="15" customHeight="1" x14ac:dyDescent="0.25">
      <c r="B88" s="71"/>
      <c r="C88" s="71"/>
      <c r="D88" s="71"/>
      <c r="E88" s="71"/>
      <c r="F88" s="71"/>
      <c r="G88" s="71"/>
      <c r="H88" s="71"/>
      <c r="I88" s="72"/>
      <c r="J88" s="72"/>
      <c r="K88" s="72"/>
      <c r="L88" s="72"/>
      <c r="M88" s="72"/>
      <c r="N88" s="72"/>
      <c r="O88" s="73" t="str">
        <f t="shared" si="3"/>
        <v/>
      </c>
      <c r="P88" s="43" t="str">
        <f t="shared" si="4"/>
        <v/>
      </c>
      <c r="Q88" s="74" t="str">
        <f>IF(C88="","",IFERROR(ROUND(C88/VLOOKUP($D$1,LaborRates!$A:$D,4,0),2),""))</f>
        <v/>
      </c>
      <c r="R88" s="75" t="str">
        <f>IF(C88="","",IFERROR(VLOOKUP($D$1,LaborRates!$A:$D,3,0)-10,""))</f>
        <v/>
      </c>
      <c r="S88" s="43" t="str">
        <f t="shared" si="5"/>
        <v/>
      </c>
    </row>
    <row r="89" spans="2:19" ht="15" customHeight="1" x14ac:dyDescent="0.25">
      <c r="B89" s="71"/>
      <c r="C89" s="71"/>
      <c r="D89" s="71"/>
      <c r="E89" s="71"/>
      <c r="F89" s="71"/>
      <c r="G89" s="71"/>
      <c r="H89" s="71"/>
      <c r="I89" s="72"/>
      <c r="J89" s="72"/>
      <c r="K89" s="72"/>
      <c r="L89" s="72"/>
      <c r="M89" s="72"/>
      <c r="N89" s="72"/>
      <c r="O89" s="73" t="str">
        <f t="shared" si="3"/>
        <v/>
      </c>
      <c r="P89" s="43" t="str">
        <f t="shared" si="4"/>
        <v/>
      </c>
      <c r="Q89" s="74" t="str">
        <f>IF(C89="","",IFERROR(ROUND(C89/VLOOKUP($D$1,LaborRates!$A:$D,4,0),2),""))</f>
        <v/>
      </c>
      <c r="R89" s="75" t="str">
        <f>IF(C89="","",IFERROR(VLOOKUP($D$1,LaborRates!$A:$D,3,0)-10,""))</f>
        <v/>
      </c>
      <c r="S89" s="43" t="str">
        <f t="shared" si="5"/>
        <v/>
      </c>
    </row>
    <row r="90" spans="2:19" ht="15" customHeight="1" x14ac:dyDescent="0.25">
      <c r="B90" s="71"/>
      <c r="C90" s="71"/>
      <c r="D90" s="71"/>
      <c r="E90" s="71"/>
      <c r="F90" s="71"/>
      <c r="G90" s="71"/>
      <c r="H90" s="71"/>
      <c r="I90" s="72"/>
      <c r="J90" s="72"/>
      <c r="K90" s="72"/>
      <c r="L90" s="72"/>
      <c r="M90" s="72"/>
      <c r="N90" s="72"/>
      <c r="O90" s="73" t="str">
        <f t="shared" si="3"/>
        <v/>
      </c>
      <c r="P90" s="43" t="str">
        <f t="shared" si="4"/>
        <v/>
      </c>
      <c r="Q90" s="74" t="str">
        <f>IF(C90="","",IFERROR(ROUND(C90/VLOOKUP($D$1,LaborRates!$A:$D,4,0),2),""))</f>
        <v/>
      </c>
      <c r="R90" s="75" t="str">
        <f>IF(C90="","",IFERROR(VLOOKUP($D$1,LaborRates!$A:$D,3,0)-10,""))</f>
        <v/>
      </c>
      <c r="S90" s="43" t="str">
        <f t="shared" si="5"/>
        <v/>
      </c>
    </row>
    <row r="91" spans="2:19" ht="15" customHeight="1" x14ac:dyDescent="0.25">
      <c r="B91" s="71"/>
      <c r="C91" s="71"/>
      <c r="D91" s="71"/>
      <c r="E91" s="71"/>
      <c r="F91" s="71"/>
      <c r="G91" s="71"/>
      <c r="H91" s="71"/>
      <c r="I91" s="72"/>
      <c r="J91" s="72"/>
      <c r="K91" s="72"/>
      <c r="L91" s="72"/>
      <c r="M91" s="72"/>
      <c r="N91" s="72"/>
      <c r="O91" s="73" t="str">
        <f t="shared" si="3"/>
        <v/>
      </c>
      <c r="P91" s="43" t="str">
        <f t="shared" si="4"/>
        <v/>
      </c>
      <c r="Q91" s="74" t="str">
        <f>IF(C91="","",IFERROR(ROUND(C91/VLOOKUP($D$1,LaborRates!$A:$D,4,0),2),""))</f>
        <v/>
      </c>
      <c r="R91" s="75" t="str">
        <f>IF(C91="","",IFERROR(VLOOKUP($D$1,LaborRates!$A:$D,3,0)-10,""))</f>
        <v/>
      </c>
      <c r="S91" s="43" t="str">
        <f t="shared" si="5"/>
        <v/>
      </c>
    </row>
    <row r="92" spans="2:19" ht="15" customHeight="1" x14ac:dyDescent="0.25">
      <c r="B92" s="71"/>
      <c r="C92" s="71"/>
      <c r="D92" s="71"/>
      <c r="E92" s="71"/>
      <c r="F92" s="71"/>
      <c r="G92" s="71"/>
      <c r="H92" s="71"/>
      <c r="I92" s="72"/>
      <c r="J92" s="72"/>
      <c r="K92" s="72"/>
      <c r="L92" s="72"/>
      <c r="M92" s="72"/>
      <c r="N92" s="72"/>
      <c r="O92" s="73" t="str">
        <f t="shared" si="3"/>
        <v/>
      </c>
      <c r="P92" s="43" t="str">
        <f t="shared" si="4"/>
        <v/>
      </c>
      <c r="Q92" s="74" t="str">
        <f>IF(C92="","",IFERROR(ROUND(C92/VLOOKUP($D$1,LaborRates!$A:$D,4,0),2),""))</f>
        <v/>
      </c>
      <c r="R92" s="75" t="str">
        <f>IF(C92="","",IFERROR(VLOOKUP($D$1,LaborRates!$A:$D,3,0)-10,""))</f>
        <v/>
      </c>
      <c r="S92" s="43" t="str">
        <f t="shared" si="5"/>
        <v/>
      </c>
    </row>
    <row r="93" spans="2:19" ht="15" customHeight="1" x14ac:dyDescent="0.25">
      <c r="B93" s="71"/>
      <c r="C93" s="71"/>
      <c r="D93" s="71"/>
      <c r="E93" s="71"/>
      <c r="F93" s="71"/>
      <c r="G93" s="71"/>
      <c r="H93" s="71"/>
      <c r="I93" s="72"/>
      <c r="J93" s="72"/>
      <c r="K93" s="72"/>
      <c r="L93" s="72"/>
      <c r="M93" s="72"/>
      <c r="N93" s="72"/>
      <c r="O93" s="73" t="str">
        <f t="shared" si="3"/>
        <v/>
      </c>
      <c r="P93" s="43" t="str">
        <f t="shared" si="4"/>
        <v/>
      </c>
      <c r="Q93" s="74" t="str">
        <f>IF(C93="","",IFERROR(ROUND(C93/VLOOKUP($D$1,LaborRates!$A:$D,4,0),2),""))</f>
        <v/>
      </c>
      <c r="R93" s="75" t="str">
        <f>IF(C93="","",IFERROR(VLOOKUP($D$1,LaborRates!$A:$D,3,0)-10,""))</f>
        <v/>
      </c>
      <c r="S93" s="43" t="str">
        <f t="shared" si="5"/>
        <v/>
      </c>
    </row>
    <row r="94" spans="2:19" ht="15" customHeight="1" x14ac:dyDescent="0.25">
      <c r="B94" s="71"/>
      <c r="C94" s="71"/>
      <c r="D94" s="71"/>
      <c r="E94" s="71"/>
      <c r="F94" s="71"/>
      <c r="G94" s="71"/>
      <c r="H94" s="71"/>
      <c r="I94" s="72"/>
      <c r="J94" s="72"/>
      <c r="K94" s="72"/>
      <c r="L94" s="72"/>
      <c r="M94" s="72"/>
      <c r="N94" s="72"/>
      <c r="O94" s="73" t="str">
        <f t="shared" si="3"/>
        <v/>
      </c>
      <c r="P94" s="43" t="str">
        <f t="shared" si="4"/>
        <v/>
      </c>
      <c r="Q94" s="74" t="str">
        <f>IF(C94="","",IFERROR(ROUND(C94/VLOOKUP($D$1,LaborRates!$A:$D,4,0),2),""))</f>
        <v/>
      </c>
      <c r="R94" s="75" t="str">
        <f>IF(C94="","",IFERROR(VLOOKUP($D$1,LaborRates!$A:$D,3,0)-10,""))</f>
        <v/>
      </c>
      <c r="S94" s="43" t="str">
        <f t="shared" si="5"/>
        <v/>
      </c>
    </row>
    <row r="95" spans="2:19" ht="15" customHeight="1" x14ac:dyDescent="0.25">
      <c r="B95" s="71"/>
      <c r="C95" s="71"/>
      <c r="D95" s="71"/>
      <c r="E95" s="71"/>
      <c r="F95" s="71"/>
      <c r="G95" s="71"/>
      <c r="H95" s="71"/>
      <c r="I95" s="72"/>
      <c r="J95" s="72"/>
      <c r="K95" s="72"/>
      <c r="L95" s="72"/>
      <c r="M95" s="72"/>
      <c r="N95" s="72"/>
      <c r="O95" s="73" t="str">
        <f t="shared" si="3"/>
        <v/>
      </c>
      <c r="P95" s="43" t="str">
        <f t="shared" si="4"/>
        <v/>
      </c>
      <c r="Q95" s="74" t="str">
        <f>IF(C95="","",IFERROR(ROUND(C95/VLOOKUP($D$1,LaborRates!$A:$D,4,0),2),""))</f>
        <v/>
      </c>
      <c r="R95" s="75" t="str">
        <f>IF(C95="","",IFERROR(VLOOKUP($D$1,LaborRates!$A:$D,3,0)-10,""))</f>
        <v/>
      </c>
      <c r="S95" s="43" t="str">
        <f t="shared" si="5"/>
        <v/>
      </c>
    </row>
    <row r="96" spans="2:19" ht="15" customHeight="1" x14ac:dyDescent="0.25">
      <c r="B96" s="71"/>
      <c r="C96" s="71"/>
      <c r="D96" s="71"/>
      <c r="E96" s="71"/>
      <c r="F96" s="71"/>
      <c r="G96" s="71"/>
      <c r="H96" s="71"/>
      <c r="I96" s="72"/>
      <c r="J96" s="72"/>
      <c r="K96" s="72"/>
      <c r="L96" s="72"/>
      <c r="M96" s="72"/>
      <c r="N96" s="72"/>
      <c r="O96" s="73" t="str">
        <f t="shared" si="3"/>
        <v/>
      </c>
      <c r="P96" s="43" t="str">
        <f t="shared" si="4"/>
        <v/>
      </c>
      <c r="Q96" s="74" t="str">
        <f>IF(C96="","",IFERROR(ROUND(C96/VLOOKUP($D$1,LaborRates!$A:$D,4,0),2),""))</f>
        <v/>
      </c>
      <c r="R96" s="75" t="str">
        <f>IF(C96="","",IFERROR(VLOOKUP($D$1,LaborRates!$A:$D,3,0)-10,""))</f>
        <v/>
      </c>
      <c r="S96" s="43" t="str">
        <f t="shared" si="5"/>
        <v/>
      </c>
    </row>
    <row r="97" spans="2:19" ht="15" customHeight="1" x14ac:dyDescent="0.25">
      <c r="B97" s="71"/>
      <c r="C97" s="71"/>
      <c r="D97" s="71"/>
      <c r="E97" s="71"/>
      <c r="F97" s="71"/>
      <c r="G97" s="71"/>
      <c r="H97" s="71"/>
      <c r="I97" s="72"/>
      <c r="J97" s="72"/>
      <c r="K97" s="72"/>
      <c r="L97" s="72"/>
      <c r="M97" s="72"/>
      <c r="N97" s="72"/>
      <c r="O97" s="73" t="str">
        <f t="shared" si="3"/>
        <v/>
      </c>
      <c r="P97" s="43" t="str">
        <f t="shared" si="4"/>
        <v/>
      </c>
      <c r="Q97" s="74" t="str">
        <f>IF(C97="","",IFERROR(ROUND(C97/VLOOKUP($D$1,LaborRates!$A:$D,4,0),2),""))</f>
        <v/>
      </c>
      <c r="R97" s="75" t="str">
        <f>IF(C97="","",IFERROR(VLOOKUP($D$1,LaborRates!$A:$D,3,0)-10,""))</f>
        <v/>
      </c>
      <c r="S97" s="43" t="str">
        <f t="shared" si="5"/>
        <v/>
      </c>
    </row>
    <row r="98" spans="2:19" ht="15" customHeight="1" x14ac:dyDescent="0.25">
      <c r="B98" s="71"/>
      <c r="C98" s="71"/>
      <c r="D98" s="71"/>
      <c r="E98" s="71"/>
      <c r="F98" s="71"/>
      <c r="G98" s="71"/>
      <c r="H98" s="71"/>
      <c r="I98" s="72"/>
      <c r="J98" s="72"/>
      <c r="K98" s="72"/>
      <c r="L98" s="72"/>
      <c r="M98" s="72"/>
      <c r="N98" s="72"/>
      <c r="O98" s="73" t="str">
        <f t="shared" si="3"/>
        <v/>
      </c>
      <c r="P98" s="43" t="str">
        <f t="shared" si="4"/>
        <v/>
      </c>
      <c r="Q98" s="74" t="str">
        <f>IF(C98="","",IFERROR(ROUND(C98/VLOOKUP($D$1,LaborRates!$A:$D,4,0),2),""))</f>
        <v/>
      </c>
      <c r="R98" s="75" t="str">
        <f>IF(C98="","",IFERROR(VLOOKUP($D$1,LaborRates!$A:$D,3,0)-10,""))</f>
        <v/>
      </c>
      <c r="S98" s="43" t="str">
        <f t="shared" si="5"/>
        <v/>
      </c>
    </row>
    <row r="99" spans="2:19" ht="15" customHeight="1" x14ac:dyDescent="0.25">
      <c r="B99" s="71"/>
      <c r="C99" s="71"/>
      <c r="D99" s="71"/>
      <c r="E99" s="71"/>
      <c r="F99" s="71"/>
      <c r="G99" s="71"/>
      <c r="H99" s="71"/>
      <c r="I99" s="72"/>
      <c r="J99" s="72"/>
      <c r="K99" s="72"/>
      <c r="L99" s="72"/>
      <c r="M99" s="72"/>
      <c r="N99" s="72"/>
      <c r="O99" s="73" t="str">
        <f t="shared" si="3"/>
        <v/>
      </c>
      <c r="P99" s="43" t="str">
        <f t="shared" si="4"/>
        <v/>
      </c>
      <c r="Q99" s="74" t="str">
        <f>IF(C99="","",IFERROR(ROUND(C99/VLOOKUP($D$1,LaborRates!$A:$D,4,0),2),""))</f>
        <v/>
      </c>
      <c r="R99" s="75" t="str">
        <f>IF(C99="","",IFERROR(VLOOKUP($D$1,LaborRates!$A:$D,3,0)-10,""))</f>
        <v/>
      </c>
      <c r="S99" s="43" t="str">
        <f t="shared" si="5"/>
        <v/>
      </c>
    </row>
    <row r="100" spans="2:19" ht="15" customHeight="1" x14ac:dyDescent="0.25">
      <c r="B100" s="71"/>
      <c r="C100" s="71"/>
      <c r="D100" s="71"/>
      <c r="E100" s="71"/>
      <c r="F100" s="71"/>
      <c r="G100" s="71"/>
      <c r="H100" s="71"/>
      <c r="I100" s="72"/>
      <c r="J100" s="72"/>
      <c r="K100" s="72"/>
      <c r="L100" s="72"/>
      <c r="M100" s="72"/>
      <c r="N100" s="72"/>
      <c r="O100" s="73" t="str">
        <f t="shared" si="3"/>
        <v/>
      </c>
      <c r="P100" s="43" t="str">
        <f t="shared" si="4"/>
        <v/>
      </c>
      <c r="Q100" s="74" t="str">
        <f>IF(C100="","",IFERROR(ROUND(C100/VLOOKUP($D$1,LaborRates!$A:$D,4,0),2),""))</f>
        <v/>
      </c>
      <c r="R100" s="75" t="str">
        <f>IF(C100="","",IFERROR(VLOOKUP($D$1,LaborRates!$A:$D,3,0)-10,""))</f>
        <v/>
      </c>
      <c r="S100" s="43" t="str">
        <f t="shared" si="5"/>
        <v/>
      </c>
    </row>
    <row r="101" spans="2:19" ht="15" customHeight="1" x14ac:dyDescent="0.25">
      <c r="B101" s="71"/>
      <c r="C101" s="71"/>
      <c r="D101" s="71"/>
      <c r="E101" s="71"/>
      <c r="F101" s="71"/>
      <c r="G101" s="71"/>
      <c r="H101" s="71"/>
      <c r="I101" s="72"/>
      <c r="J101" s="72"/>
      <c r="K101" s="72"/>
      <c r="L101" s="72"/>
      <c r="M101" s="72"/>
      <c r="N101" s="72"/>
      <c r="O101" s="73" t="str">
        <f t="shared" si="3"/>
        <v/>
      </c>
      <c r="P101" s="43" t="str">
        <f t="shared" si="4"/>
        <v/>
      </c>
      <c r="Q101" s="74" t="str">
        <f>IF(C101="","",IFERROR(ROUND(C101/VLOOKUP($D$1,LaborRates!$A:$D,4,0),2),""))</f>
        <v/>
      </c>
      <c r="R101" s="75" t="str">
        <f>IF(C101="","",IFERROR(VLOOKUP($D$1,LaborRates!$A:$D,3,0)-10,""))</f>
        <v/>
      </c>
      <c r="S101" s="43" t="str">
        <f t="shared" si="5"/>
        <v/>
      </c>
    </row>
    <row r="102" spans="2:19" ht="15" customHeight="1" x14ac:dyDescent="0.25">
      <c r="B102" s="71"/>
      <c r="C102" s="71"/>
      <c r="D102" s="71"/>
      <c r="E102" s="71"/>
      <c r="F102" s="71"/>
      <c r="G102" s="71"/>
      <c r="H102" s="71"/>
      <c r="I102" s="72"/>
      <c r="J102" s="72"/>
      <c r="K102" s="72"/>
      <c r="L102" s="72"/>
      <c r="M102" s="72"/>
      <c r="N102" s="72"/>
      <c r="O102" s="73" t="str">
        <f t="shared" si="3"/>
        <v/>
      </c>
      <c r="P102" s="43" t="str">
        <f t="shared" si="4"/>
        <v/>
      </c>
      <c r="Q102" s="74" t="str">
        <f>IF(C102="","",IFERROR(ROUND(C102/VLOOKUP($D$1,LaborRates!$A:$D,4,0),2),""))</f>
        <v/>
      </c>
      <c r="R102" s="75" t="str">
        <f>IF(C102="","",IFERROR(VLOOKUP($D$1,LaborRates!$A:$D,3,0)-10,""))</f>
        <v/>
      </c>
      <c r="S102" s="43" t="str">
        <f t="shared" si="5"/>
        <v/>
      </c>
    </row>
    <row r="103" spans="2:19" ht="15" customHeight="1" x14ac:dyDescent="0.25">
      <c r="B103" s="71"/>
      <c r="C103" s="71"/>
      <c r="D103" s="71"/>
      <c r="E103" s="71"/>
      <c r="F103" s="71"/>
      <c r="G103" s="71"/>
      <c r="H103" s="71"/>
      <c r="I103" s="72"/>
      <c r="J103" s="72"/>
      <c r="K103" s="72"/>
      <c r="L103" s="72"/>
      <c r="M103" s="72"/>
      <c r="N103" s="72"/>
      <c r="O103" s="73" t="str">
        <f t="shared" si="3"/>
        <v/>
      </c>
      <c r="P103" s="43" t="str">
        <f t="shared" si="4"/>
        <v/>
      </c>
      <c r="Q103" s="74" t="str">
        <f>IF(C103="","",IFERROR(ROUND(C103/VLOOKUP($D$1,LaborRates!$A:$D,4,0),2),""))</f>
        <v/>
      </c>
      <c r="R103" s="75" t="str">
        <f>IF(C103="","",IFERROR(VLOOKUP($D$1,LaborRates!$A:$D,3,0)-10,""))</f>
        <v/>
      </c>
      <c r="S103" s="43" t="str">
        <f t="shared" si="5"/>
        <v/>
      </c>
    </row>
    <row r="104" spans="2:19" ht="15" customHeight="1" x14ac:dyDescent="0.25">
      <c r="B104" s="71"/>
      <c r="C104" s="71"/>
      <c r="D104" s="71"/>
      <c r="E104" s="71"/>
      <c r="F104" s="71"/>
      <c r="G104" s="71"/>
      <c r="H104" s="71"/>
      <c r="I104" s="72"/>
      <c r="J104" s="72"/>
      <c r="K104" s="72"/>
      <c r="L104" s="72"/>
      <c r="M104" s="72"/>
      <c r="N104" s="72"/>
      <c r="O104" s="73" t="str">
        <f t="shared" si="3"/>
        <v/>
      </c>
      <c r="P104" s="43" t="str">
        <f t="shared" si="4"/>
        <v/>
      </c>
      <c r="Q104" s="74" t="str">
        <f>IF(C104="","",IFERROR(ROUND(C104/VLOOKUP($D$1,LaborRates!$A:$D,4,0),2),""))</f>
        <v/>
      </c>
      <c r="R104" s="75" t="str">
        <f>IF(C104="","",IFERROR(VLOOKUP($D$1,LaborRates!$A:$D,3,0)-10,""))</f>
        <v/>
      </c>
      <c r="S104" s="43" t="str">
        <f t="shared" si="5"/>
        <v/>
      </c>
    </row>
    <row r="105" spans="2:19" ht="15" customHeight="1" x14ac:dyDescent="0.25">
      <c r="B105" s="71"/>
      <c r="C105" s="71"/>
      <c r="D105" s="71"/>
      <c r="E105" s="71"/>
      <c r="F105" s="71"/>
      <c r="G105" s="71"/>
      <c r="H105" s="71"/>
      <c r="I105" s="72"/>
      <c r="J105" s="72"/>
      <c r="K105" s="72"/>
      <c r="L105" s="72"/>
      <c r="M105" s="72"/>
      <c r="N105" s="72"/>
      <c r="O105" s="73" t="str">
        <f t="shared" si="3"/>
        <v/>
      </c>
      <c r="P105" s="43" t="str">
        <f t="shared" si="4"/>
        <v/>
      </c>
      <c r="Q105" s="74" t="str">
        <f>IF(C105="","",IFERROR(ROUND(C105/VLOOKUP($D$1,LaborRates!$A:$D,4,0),2),""))</f>
        <v/>
      </c>
      <c r="R105" s="75" t="str">
        <f>IF(C105="","",IFERROR(VLOOKUP($D$1,LaborRates!$A:$D,3,0)-10,""))</f>
        <v/>
      </c>
      <c r="S105" s="43" t="str">
        <f t="shared" si="5"/>
        <v/>
      </c>
    </row>
    <row r="106" spans="2:19" ht="15" customHeight="1" x14ac:dyDescent="0.25">
      <c r="B106" s="71"/>
      <c r="C106" s="71"/>
      <c r="D106" s="71"/>
      <c r="E106" s="71"/>
      <c r="F106" s="71"/>
      <c r="G106" s="71"/>
      <c r="H106" s="71"/>
      <c r="I106" s="72"/>
      <c r="J106" s="72"/>
      <c r="K106" s="72"/>
      <c r="L106" s="72"/>
      <c r="M106" s="72"/>
      <c r="N106" s="72"/>
      <c r="O106" s="73" t="str">
        <f t="shared" si="3"/>
        <v/>
      </c>
      <c r="P106" s="43" t="str">
        <f t="shared" si="4"/>
        <v/>
      </c>
      <c r="Q106" s="74" t="str">
        <f>IF(C106="","",IFERROR(ROUND(C106/VLOOKUP($D$1,LaborRates!$A:$D,4,0),2),""))</f>
        <v/>
      </c>
      <c r="R106" s="75" t="str">
        <f>IF(C106="","",IFERROR(VLOOKUP($D$1,LaborRates!$A:$D,3,0)-10,""))</f>
        <v/>
      </c>
      <c r="S106" s="43" t="str">
        <f t="shared" si="5"/>
        <v/>
      </c>
    </row>
    <row r="107" spans="2:19" ht="15" customHeight="1" x14ac:dyDescent="0.25">
      <c r="B107" s="71"/>
      <c r="C107" s="71"/>
      <c r="D107" s="71"/>
      <c r="E107" s="71"/>
      <c r="F107" s="71"/>
      <c r="G107" s="71"/>
      <c r="H107" s="71"/>
      <c r="I107" s="72"/>
      <c r="J107" s="72"/>
      <c r="K107" s="72"/>
      <c r="L107" s="72"/>
      <c r="M107" s="72"/>
      <c r="N107" s="72"/>
      <c r="O107" s="73" t="str">
        <f t="shared" si="3"/>
        <v/>
      </c>
      <c r="P107" s="43" t="str">
        <f t="shared" si="4"/>
        <v/>
      </c>
      <c r="Q107" s="74" t="str">
        <f>IF(C107="","",IFERROR(ROUND(C107/VLOOKUP($D$1,LaborRates!$A:$D,4,0),2),""))</f>
        <v/>
      </c>
      <c r="R107" s="75" t="str">
        <f>IF(C107="","",IFERROR(VLOOKUP($D$1,LaborRates!$A:$D,3,0)-10,""))</f>
        <v/>
      </c>
      <c r="S107" s="43" t="str">
        <f t="shared" si="5"/>
        <v/>
      </c>
    </row>
    <row r="108" spans="2:19" ht="15" customHeight="1" x14ac:dyDescent="0.25">
      <c r="B108" s="71"/>
      <c r="C108" s="71"/>
      <c r="D108" s="71"/>
      <c r="E108" s="71"/>
      <c r="F108" s="71"/>
      <c r="G108" s="71"/>
      <c r="H108" s="71"/>
      <c r="I108" s="72"/>
      <c r="J108" s="72"/>
      <c r="K108" s="72"/>
      <c r="L108" s="72"/>
      <c r="M108" s="72"/>
      <c r="N108" s="72"/>
      <c r="O108" s="73" t="str">
        <f t="shared" si="3"/>
        <v/>
      </c>
      <c r="P108" s="43" t="str">
        <f t="shared" si="4"/>
        <v/>
      </c>
      <c r="Q108" s="74" t="str">
        <f>IF(C108="","",IFERROR(ROUND(C108/VLOOKUP($D$1,LaborRates!$A:$D,4,0),2),""))</f>
        <v/>
      </c>
      <c r="R108" s="75" t="str">
        <f>IF(C108="","",IFERROR(VLOOKUP($D$1,LaborRates!$A:$D,3,0)-10,""))</f>
        <v/>
      </c>
      <c r="S108" s="43" t="str">
        <f t="shared" si="5"/>
        <v/>
      </c>
    </row>
    <row r="109" spans="2:19" ht="15" customHeight="1" x14ac:dyDescent="0.25">
      <c r="B109" s="71"/>
      <c r="C109" s="71"/>
      <c r="D109" s="71"/>
      <c r="E109" s="71"/>
      <c r="F109" s="71"/>
      <c r="G109" s="71"/>
      <c r="H109" s="71"/>
      <c r="I109" s="72"/>
      <c r="J109" s="72"/>
      <c r="K109" s="72"/>
      <c r="L109" s="72"/>
      <c r="M109" s="72"/>
      <c r="N109" s="72"/>
      <c r="O109" s="73" t="str">
        <f t="shared" si="3"/>
        <v/>
      </c>
      <c r="P109" s="43" t="str">
        <f t="shared" si="4"/>
        <v/>
      </c>
      <c r="Q109" s="74" t="str">
        <f>IF(C109="","",IFERROR(ROUND(C109/VLOOKUP($D$1,LaborRates!$A:$D,4,0),2),""))</f>
        <v/>
      </c>
      <c r="R109" s="75" t="str">
        <f>IF(C109="","",IFERROR(VLOOKUP($D$1,LaborRates!$A:$D,3,0)-10,""))</f>
        <v/>
      </c>
      <c r="S109" s="43" t="str">
        <f t="shared" si="5"/>
        <v/>
      </c>
    </row>
    <row r="110" spans="2:19" ht="15" customHeight="1" x14ac:dyDescent="0.25">
      <c r="B110" s="71"/>
      <c r="C110" s="71"/>
      <c r="D110" s="71"/>
      <c r="E110" s="71"/>
      <c r="F110" s="71"/>
      <c r="G110" s="71"/>
      <c r="H110" s="71"/>
      <c r="I110" s="72"/>
      <c r="J110" s="72"/>
      <c r="K110" s="72"/>
      <c r="L110" s="72"/>
      <c r="M110" s="72"/>
      <c r="N110" s="72"/>
      <c r="O110" s="73" t="str">
        <f t="shared" si="3"/>
        <v/>
      </c>
      <c r="P110" s="43" t="str">
        <f t="shared" si="4"/>
        <v/>
      </c>
      <c r="Q110" s="74" t="str">
        <f>IF(C110="","",IFERROR(ROUND(C110/VLOOKUP($D$1,LaborRates!$A:$D,4,0),2),""))</f>
        <v/>
      </c>
      <c r="R110" s="75" t="str">
        <f>IF(C110="","",IFERROR(VLOOKUP($D$1,LaborRates!$A:$D,3,0)-10,""))</f>
        <v/>
      </c>
      <c r="S110" s="43" t="str">
        <f t="shared" si="5"/>
        <v/>
      </c>
    </row>
    <row r="111" spans="2:19" ht="15" customHeight="1" x14ac:dyDescent="0.25">
      <c r="B111" s="71"/>
      <c r="C111" s="71"/>
      <c r="D111" s="71"/>
      <c r="E111" s="71"/>
      <c r="F111" s="71"/>
      <c r="G111" s="71"/>
      <c r="H111" s="71"/>
      <c r="I111" s="72"/>
      <c r="J111" s="72"/>
      <c r="K111" s="72"/>
      <c r="L111" s="72"/>
      <c r="M111" s="72"/>
      <c r="N111" s="72"/>
      <c r="O111" s="73" t="str">
        <f t="shared" si="3"/>
        <v/>
      </c>
      <c r="P111" s="43" t="str">
        <f t="shared" si="4"/>
        <v/>
      </c>
      <c r="Q111" s="74" t="str">
        <f>IF(C111="","",IFERROR(ROUND(C111/VLOOKUP($D$1,LaborRates!$A:$D,4,0),2),""))</f>
        <v/>
      </c>
      <c r="R111" s="75" t="str">
        <f>IF(C111="","",IFERROR(VLOOKUP($D$1,LaborRates!$A:$D,3,0)-10,""))</f>
        <v/>
      </c>
      <c r="S111" s="43" t="str">
        <f t="shared" si="5"/>
        <v/>
      </c>
    </row>
    <row r="112" spans="2:19" ht="15" customHeight="1" x14ac:dyDescent="0.25">
      <c r="B112" s="71"/>
      <c r="C112" s="71"/>
      <c r="D112" s="71"/>
      <c r="E112" s="71"/>
      <c r="F112" s="71"/>
      <c r="G112" s="71"/>
      <c r="H112" s="71"/>
      <c r="I112" s="72"/>
      <c r="J112" s="72"/>
      <c r="K112" s="72"/>
      <c r="L112" s="72"/>
      <c r="M112" s="72"/>
      <c r="N112" s="72"/>
      <c r="O112" s="73" t="str">
        <f t="shared" si="3"/>
        <v/>
      </c>
      <c r="P112" s="43" t="str">
        <f t="shared" si="4"/>
        <v/>
      </c>
      <c r="Q112" s="74" t="str">
        <f>IF(C112="","",IFERROR(ROUND(C112/VLOOKUP($D$1,LaborRates!$A:$D,4,0),2),""))</f>
        <v/>
      </c>
      <c r="R112" s="75" t="str">
        <f>IF(C112="","",IFERROR(VLOOKUP($D$1,LaborRates!$A:$D,3,0)-10,""))</f>
        <v/>
      </c>
      <c r="S112" s="43" t="str">
        <f t="shared" si="5"/>
        <v/>
      </c>
    </row>
    <row r="113" spans="2:19" ht="15" customHeight="1" x14ac:dyDescent="0.25">
      <c r="B113" s="71"/>
      <c r="C113" s="71"/>
      <c r="D113" s="71"/>
      <c r="E113" s="71"/>
      <c r="F113" s="71"/>
      <c r="G113" s="71"/>
      <c r="H113" s="71"/>
      <c r="I113" s="72"/>
      <c r="J113" s="72"/>
      <c r="K113" s="72"/>
      <c r="L113" s="72"/>
      <c r="M113" s="72"/>
      <c r="N113" s="72"/>
      <c r="O113" s="73" t="str">
        <f t="shared" si="3"/>
        <v/>
      </c>
      <c r="P113" s="43" t="str">
        <f t="shared" si="4"/>
        <v/>
      </c>
      <c r="Q113" s="74" t="str">
        <f>IF(C113="","",IFERROR(ROUND(C113/VLOOKUP($D$1,LaborRates!$A:$D,4,0),2),""))</f>
        <v/>
      </c>
      <c r="R113" s="75" t="str">
        <f>IF(C113="","",IFERROR(VLOOKUP($D$1,LaborRates!$A:$D,3,0)-10,""))</f>
        <v/>
      </c>
      <c r="S113" s="43" t="str">
        <f t="shared" si="5"/>
        <v/>
      </c>
    </row>
    <row r="114" spans="2:19" ht="15" customHeight="1" x14ac:dyDescent="0.25">
      <c r="B114" s="71"/>
      <c r="C114" s="71"/>
      <c r="D114" s="71"/>
      <c r="E114" s="71"/>
      <c r="F114" s="71"/>
      <c r="G114" s="71"/>
      <c r="H114" s="71"/>
      <c r="I114" s="72"/>
      <c r="J114" s="72"/>
      <c r="K114" s="72"/>
      <c r="L114" s="72"/>
      <c r="M114" s="72"/>
      <c r="N114" s="72"/>
      <c r="O114" s="73" t="str">
        <f t="shared" si="3"/>
        <v/>
      </c>
      <c r="P114" s="43" t="str">
        <f t="shared" si="4"/>
        <v/>
      </c>
      <c r="Q114" s="74" t="str">
        <f>IF(C114="","",IFERROR(ROUND(C114/VLOOKUP($D$1,LaborRates!$A:$D,4,0),2),""))</f>
        <v/>
      </c>
      <c r="R114" s="75" t="str">
        <f>IF(C114="","",IFERROR(VLOOKUP($D$1,LaborRates!$A:$D,3,0)-10,""))</f>
        <v/>
      </c>
      <c r="S114" s="43" t="str">
        <f t="shared" si="5"/>
        <v/>
      </c>
    </row>
    <row r="115" spans="2:19" ht="15" customHeight="1" x14ac:dyDescent="0.25">
      <c r="B115" s="71"/>
      <c r="C115" s="71"/>
      <c r="D115" s="71"/>
      <c r="E115" s="71"/>
      <c r="F115" s="71"/>
      <c r="G115" s="71"/>
      <c r="H115" s="71"/>
      <c r="I115" s="72"/>
      <c r="J115" s="72"/>
      <c r="K115" s="72"/>
      <c r="L115" s="72"/>
      <c r="M115" s="72"/>
      <c r="N115" s="72"/>
      <c r="O115" s="73" t="str">
        <f t="shared" si="3"/>
        <v/>
      </c>
      <c r="P115" s="43" t="str">
        <f t="shared" si="4"/>
        <v/>
      </c>
      <c r="Q115" s="74" t="str">
        <f>IF(C115="","",IFERROR(ROUND(C115/VLOOKUP($D$1,LaborRates!$A:$D,4,0),2),""))</f>
        <v/>
      </c>
      <c r="R115" s="75" t="str">
        <f>IF(C115="","",IFERROR(VLOOKUP($D$1,LaborRates!$A:$D,3,0)-10,""))</f>
        <v/>
      </c>
      <c r="S115" s="43" t="str">
        <f t="shared" si="5"/>
        <v/>
      </c>
    </row>
    <row r="116" spans="2:19" ht="15" customHeight="1" x14ac:dyDescent="0.25">
      <c r="B116" s="71"/>
      <c r="C116" s="71"/>
      <c r="D116" s="71"/>
      <c r="E116" s="71"/>
      <c r="F116" s="71"/>
      <c r="G116" s="71"/>
      <c r="H116" s="71"/>
      <c r="I116" s="72"/>
      <c r="J116" s="72"/>
      <c r="K116" s="72"/>
      <c r="L116" s="72"/>
      <c r="M116" s="72"/>
      <c r="N116" s="72"/>
      <c r="O116" s="73" t="str">
        <f t="shared" si="3"/>
        <v/>
      </c>
      <c r="P116" s="43" t="str">
        <f t="shared" si="4"/>
        <v/>
      </c>
      <c r="Q116" s="74" t="str">
        <f>IF(C116="","",IFERROR(ROUND(C116/VLOOKUP($D$1,LaborRates!$A:$D,4,0),2),""))</f>
        <v/>
      </c>
      <c r="R116" s="75" t="str">
        <f>IF(C116="","",IFERROR(VLOOKUP($D$1,LaborRates!$A:$D,3,0)-10,""))</f>
        <v/>
      </c>
      <c r="S116" s="43" t="str">
        <f t="shared" si="5"/>
        <v/>
      </c>
    </row>
    <row r="117" spans="2:19" ht="15" customHeight="1" x14ac:dyDescent="0.25">
      <c r="B117" s="71"/>
      <c r="C117" s="71"/>
      <c r="D117" s="71"/>
      <c r="E117" s="71"/>
      <c r="F117" s="71"/>
      <c r="G117" s="71"/>
      <c r="H117" s="71"/>
      <c r="I117" s="72"/>
      <c r="J117" s="72"/>
      <c r="K117" s="72"/>
      <c r="L117" s="72"/>
      <c r="M117" s="72"/>
      <c r="N117" s="72"/>
      <c r="O117" s="73" t="str">
        <f t="shared" si="3"/>
        <v/>
      </c>
      <c r="P117" s="43" t="str">
        <f t="shared" si="4"/>
        <v/>
      </c>
      <c r="Q117" s="74" t="str">
        <f>IF(C117="","",IFERROR(ROUND(C117/VLOOKUP($D$1,LaborRates!$A:$D,4,0),2),""))</f>
        <v/>
      </c>
      <c r="R117" s="75" t="str">
        <f>IF(C117="","",IFERROR(VLOOKUP($D$1,LaborRates!$A:$D,3,0)-10,""))</f>
        <v/>
      </c>
      <c r="S117" s="43" t="str">
        <f t="shared" si="5"/>
        <v/>
      </c>
    </row>
    <row r="118" spans="2:19" ht="15" customHeight="1" x14ac:dyDescent="0.25">
      <c r="B118" s="71"/>
      <c r="C118" s="71"/>
      <c r="D118" s="71"/>
      <c r="E118" s="71"/>
      <c r="F118" s="71"/>
      <c r="G118" s="71"/>
      <c r="H118" s="71"/>
      <c r="I118" s="72"/>
      <c r="J118" s="72"/>
      <c r="K118" s="72"/>
      <c r="L118" s="72"/>
      <c r="M118" s="72"/>
      <c r="N118" s="72"/>
      <c r="O118" s="73" t="str">
        <f t="shared" si="3"/>
        <v/>
      </c>
      <c r="P118" s="43" t="str">
        <f t="shared" si="4"/>
        <v/>
      </c>
      <c r="Q118" s="74" t="str">
        <f>IF(C118="","",IFERROR(ROUND(C118/VLOOKUP($D$1,LaborRates!$A:$D,4,0),2),""))</f>
        <v/>
      </c>
      <c r="R118" s="75" t="str">
        <f>IF(C118="","",IFERROR(VLOOKUP($D$1,LaborRates!$A:$D,3,0)-10,""))</f>
        <v/>
      </c>
      <c r="S118" s="43" t="str">
        <f t="shared" si="5"/>
        <v/>
      </c>
    </row>
    <row r="119" spans="2:19" ht="15" customHeight="1" x14ac:dyDescent="0.25">
      <c r="B119" s="71"/>
      <c r="C119" s="71"/>
      <c r="D119" s="71"/>
      <c r="E119" s="71"/>
      <c r="F119" s="71"/>
      <c r="G119" s="71"/>
      <c r="H119" s="71"/>
      <c r="I119" s="72"/>
      <c r="J119" s="72"/>
      <c r="K119" s="72"/>
      <c r="L119" s="72"/>
      <c r="M119" s="72"/>
      <c r="N119" s="72"/>
      <c r="O119" s="73" t="str">
        <f t="shared" si="3"/>
        <v/>
      </c>
      <c r="P119" s="43" t="str">
        <f t="shared" si="4"/>
        <v/>
      </c>
      <c r="Q119" s="74" t="str">
        <f>IF(C119="","",IFERROR(ROUND(C119/VLOOKUP($D$1,LaborRates!$A:$D,4,0),2),""))</f>
        <v/>
      </c>
      <c r="R119" s="75" t="str">
        <f>IF(C119="","",IFERROR(VLOOKUP($D$1,LaborRates!$A:$D,3,0)-10,""))</f>
        <v/>
      </c>
      <c r="S119" s="43" t="str">
        <f t="shared" si="5"/>
        <v/>
      </c>
    </row>
    <row r="120" spans="2:19" ht="15" customHeight="1" x14ac:dyDescent="0.25">
      <c r="B120" s="71"/>
      <c r="C120" s="71"/>
      <c r="D120" s="71"/>
      <c r="E120" s="71"/>
      <c r="F120" s="71"/>
      <c r="G120" s="71"/>
      <c r="H120" s="71"/>
      <c r="I120" s="72"/>
      <c r="J120" s="72"/>
      <c r="K120" s="72"/>
      <c r="L120" s="72"/>
      <c r="M120" s="72"/>
      <c r="N120" s="72"/>
      <c r="O120" s="73" t="str">
        <f t="shared" si="3"/>
        <v/>
      </c>
      <c r="P120" s="43" t="str">
        <f t="shared" si="4"/>
        <v/>
      </c>
      <c r="Q120" s="74" t="str">
        <f>IF(C120="","",IFERROR(ROUND(C120/VLOOKUP($D$1,LaborRates!$A:$D,4,0),2),""))</f>
        <v/>
      </c>
      <c r="R120" s="75" t="str">
        <f>IF(C120="","",IFERROR(VLOOKUP($D$1,LaborRates!$A:$D,3,0)-10,""))</f>
        <v/>
      </c>
      <c r="S120" s="43" t="str">
        <f t="shared" si="5"/>
        <v/>
      </c>
    </row>
    <row r="121" spans="2:19" ht="15" customHeight="1" x14ac:dyDescent="0.25">
      <c r="B121" s="71"/>
      <c r="C121" s="71"/>
      <c r="D121" s="71"/>
      <c r="E121" s="71"/>
      <c r="F121" s="71"/>
      <c r="G121" s="71"/>
      <c r="H121" s="71"/>
      <c r="I121" s="72"/>
      <c r="J121" s="72"/>
      <c r="K121" s="72"/>
      <c r="L121" s="72"/>
      <c r="M121" s="72"/>
      <c r="N121" s="72"/>
      <c r="O121" s="73" t="str">
        <f t="shared" si="3"/>
        <v/>
      </c>
      <c r="P121" s="43" t="str">
        <f t="shared" si="4"/>
        <v/>
      </c>
      <c r="Q121" s="74" t="str">
        <f>IF(C121="","",IFERROR(ROUND(C121/VLOOKUP($D$1,LaborRates!$A:$D,4,0),2),""))</f>
        <v/>
      </c>
      <c r="R121" s="75" t="str">
        <f>IF(C121="","",IFERROR(VLOOKUP($D$1,LaborRates!$A:$D,3,0)-10,""))</f>
        <v/>
      </c>
      <c r="S121" s="43" t="str">
        <f t="shared" si="5"/>
        <v/>
      </c>
    </row>
    <row r="122" spans="2:19" ht="15" customHeight="1" x14ac:dyDescent="0.25">
      <c r="B122" s="71"/>
      <c r="C122" s="71"/>
      <c r="D122" s="71"/>
      <c r="E122" s="71"/>
      <c r="F122" s="71"/>
      <c r="G122" s="71"/>
      <c r="H122" s="71"/>
      <c r="I122" s="72"/>
      <c r="J122" s="72"/>
      <c r="K122" s="72"/>
      <c r="L122" s="72"/>
      <c r="M122" s="72"/>
      <c r="N122" s="72"/>
      <c r="O122" s="73" t="str">
        <f t="shared" si="3"/>
        <v/>
      </c>
      <c r="P122" s="43" t="str">
        <f t="shared" si="4"/>
        <v/>
      </c>
      <c r="Q122" s="74" t="str">
        <f>IF(C122="","",IFERROR(ROUND(C122/VLOOKUP($D$1,LaborRates!$A:$D,4,0),2),""))</f>
        <v/>
      </c>
      <c r="R122" s="75" t="str">
        <f>IF(C122="","",IFERROR(VLOOKUP($D$1,LaborRates!$A:$D,3,0)-10,""))</f>
        <v/>
      </c>
      <c r="S122" s="43" t="str">
        <f t="shared" si="5"/>
        <v/>
      </c>
    </row>
    <row r="123" spans="2:19" ht="15" customHeight="1" x14ac:dyDescent="0.25">
      <c r="B123" s="71"/>
      <c r="C123" s="71"/>
      <c r="D123" s="71"/>
      <c r="E123" s="71"/>
      <c r="F123" s="71"/>
      <c r="G123" s="71"/>
      <c r="H123" s="71"/>
      <c r="I123" s="72"/>
      <c r="J123" s="72"/>
      <c r="K123" s="72"/>
      <c r="L123" s="72"/>
      <c r="M123" s="72"/>
      <c r="N123" s="72"/>
      <c r="O123" s="73" t="str">
        <f t="shared" si="3"/>
        <v/>
      </c>
      <c r="P123" s="43" t="str">
        <f t="shared" si="4"/>
        <v/>
      </c>
      <c r="Q123" s="74" t="str">
        <f>IF(C123="","",IFERROR(ROUND(C123/VLOOKUP($D$1,LaborRates!$A:$D,4,0),2),""))</f>
        <v/>
      </c>
      <c r="R123" s="75" t="str">
        <f>IF(C123="","",IFERROR(VLOOKUP($D$1,LaborRates!$A:$D,3,0)-10,""))</f>
        <v/>
      </c>
      <c r="S123" s="43" t="str">
        <f t="shared" si="5"/>
        <v/>
      </c>
    </row>
    <row r="124" spans="2:19" ht="15" customHeight="1" x14ac:dyDescent="0.25">
      <c r="B124" s="71"/>
      <c r="C124" s="71"/>
      <c r="D124" s="71"/>
      <c r="E124" s="71"/>
      <c r="F124" s="71"/>
      <c r="G124" s="71"/>
      <c r="H124" s="71"/>
      <c r="I124" s="72"/>
      <c r="J124" s="72"/>
      <c r="K124" s="72"/>
      <c r="L124" s="72"/>
      <c r="M124" s="72"/>
      <c r="N124" s="72"/>
      <c r="O124" s="73" t="str">
        <f t="shared" si="3"/>
        <v/>
      </c>
      <c r="P124" s="43" t="str">
        <f t="shared" si="4"/>
        <v/>
      </c>
      <c r="Q124" s="74" t="str">
        <f>IF(C124="","",IFERROR(ROUND(C124/VLOOKUP($D$1,LaborRates!$A:$D,4,0),2),""))</f>
        <v/>
      </c>
      <c r="R124" s="75" t="str">
        <f>IF(C124="","",IFERROR(VLOOKUP($D$1,LaborRates!$A:$D,3,0)-10,""))</f>
        <v/>
      </c>
      <c r="S124" s="43" t="str">
        <f t="shared" si="5"/>
        <v/>
      </c>
    </row>
    <row r="125" spans="2:19" ht="15" customHeight="1" x14ac:dyDescent="0.25">
      <c r="B125" s="71"/>
      <c r="C125" s="71"/>
      <c r="D125" s="71"/>
      <c r="E125" s="71"/>
      <c r="F125" s="71"/>
      <c r="G125" s="71"/>
      <c r="H125" s="71"/>
      <c r="I125" s="72"/>
      <c r="J125" s="72"/>
      <c r="K125" s="72"/>
      <c r="L125" s="72"/>
      <c r="M125" s="72"/>
      <c r="N125" s="72"/>
      <c r="O125" s="73" t="str">
        <f t="shared" si="3"/>
        <v/>
      </c>
      <c r="P125" s="43" t="str">
        <f t="shared" si="4"/>
        <v/>
      </c>
      <c r="Q125" s="74" t="str">
        <f>IF(C125="","",IFERROR(ROUND(C125/VLOOKUP($D$1,LaborRates!$A:$D,4,0),2),""))</f>
        <v/>
      </c>
      <c r="R125" s="75" t="str">
        <f>IF(C125="","",IFERROR(VLOOKUP($D$1,LaborRates!$A:$D,3,0)-10,""))</f>
        <v/>
      </c>
      <c r="S125" s="43" t="str">
        <f t="shared" si="5"/>
        <v/>
      </c>
    </row>
    <row r="126" spans="2:19" ht="15" customHeight="1" x14ac:dyDescent="0.25">
      <c r="B126" s="71"/>
      <c r="C126" s="71"/>
      <c r="D126" s="71"/>
      <c r="E126" s="71"/>
      <c r="F126" s="71"/>
      <c r="G126" s="71"/>
      <c r="H126" s="71"/>
      <c r="I126" s="72"/>
      <c r="J126" s="72"/>
      <c r="K126" s="72"/>
      <c r="L126" s="72"/>
      <c r="M126" s="72"/>
      <c r="N126" s="72"/>
      <c r="O126" s="73" t="str">
        <f t="shared" si="3"/>
        <v/>
      </c>
      <c r="P126" s="43" t="str">
        <f t="shared" si="4"/>
        <v/>
      </c>
      <c r="Q126" s="74" t="str">
        <f>IF(C126="","",IFERROR(ROUND(C126/VLOOKUP($D$1,LaborRates!$A:$D,4,0),2),""))</f>
        <v/>
      </c>
      <c r="R126" s="75" t="str">
        <f>IF(C126="","",IFERROR(VLOOKUP($D$1,LaborRates!$A:$D,3,0)-10,""))</f>
        <v/>
      </c>
      <c r="S126" s="43" t="str">
        <f t="shared" si="5"/>
        <v/>
      </c>
    </row>
    <row r="127" spans="2:19" ht="15" customHeight="1" x14ac:dyDescent="0.25">
      <c r="B127" s="71"/>
      <c r="C127" s="71"/>
      <c r="D127" s="71"/>
      <c r="E127" s="71"/>
      <c r="F127" s="71"/>
      <c r="G127" s="71"/>
      <c r="H127" s="71"/>
      <c r="I127" s="72"/>
      <c r="J127" s="72"/>
      <c r="K127" s="72"/>
      <c r="L127" s="72"/>
      <c r="M127" s="72"/>
      <c r="N127" s="72"/>
      <c r="O127" s="73" t="str">
        <f t="shared" si="3"/>
        <v/>
      </c>
      <c r="P127" s="43" t="str">
        <f t="shared" si="4"/>
        <v/>
      </c>
      <c r="Q127" s="74" t="str">
        <f>IF(C127="","",IFERROR(ROUND(C127/VLOOKUP($D$1,LaborRates!$A:$D,4,0),2),""))</f>
        <v/>
      </c>
      <c r="R127" s="75" t="str">
        <f>IF(C127="","",IFERROR(VLOOKUP($D$1,LaborRates!$A:$D,3,0)-10,""))</f>
        <v/>
      </c>
      <c r="S127" s="43" t="str">
        <f t="shared" si="5"/>
        <v/>
      </c>
    </row>
    <row r="128" spans="2:19" ht="15" customHeight="1" x14ac:dyDescent="0.25">
      <c r="B128" s="71"/>
      <c r="C128" s="71"/>
      <c r="D128" s="71"/>
      <c r="E128" s="71"/>
      <c r="F128" s="71"/>
      <c r="G128" s="71"/>
      <c r="H128" s="71"/>
      <c r="I128" s="72"/>
      <c r="J128" s="72"/>
      <c r="K128" s="72"/>
      <c r="L128" s="72"/>
      <c r="M128" s="72"/>
      <c r="N128" s="72"/>
      <c r="O128" s="73" t="str">
        <f t="shared" si="3"/>
        <v/>
      </c>
      <c r="P128" s="43" t="str">
        <f t="shared" si="4"/>
        <v/>
      </c>
      <c r="Q128" s="74" t="str">
        <f>IF(C128="","",IFERROR(ROUND(C128/VLOOKUP($D$1,LaborRates!$A:$D,4,0),2),""))</f>
        <v/>
      </c>
      <c r="R128" s="75" t="str">
        <f>IF(C128="","",IFERROR(VLOOKUP($D$1,LaborRates!$A:$D,3,0)-10,""))</f>
        <v/>
      </c>
      <c r="S128" s="43" t="str">
        <f t="shared" si="5"/>
        <v/>
      </c>
    </row>
    <row r="129" spans="2:19" ht="15" customHeight="1" x14ac:dyDescent="0.25">
      <c r="B129" s="71"/>
      <c r="C129" s="71"/>
      <c r="D129" s="71"/>
      <c r="E129" s="71"/>
      <c r="F129" s="71"/>
      <c r="G129" s="71"/>
      <c r="H129" s="71"/>
      <c r="I129" s="72"/>
      <c r="J129" s="72"/>
      <c r="K129" s="72"/>
      <c r="L129" s="72"/>
      <c r="M129" s="72"/>
      <c r="N129" s="72"/>
      <c r="O129" s="73" t="str">
        <f t="shared" si="3"/>
        <v/>
      </c>
      <c r="P129" s="43" t="str">
        <f t="shared" si="4"/>
        <v/>
      </c>
      <c r="Q129" s="74" t="str">
        <f>IF(C129="","",IFERROR(ROUND(C129/VLOOKUP($D$1,LaborRates!$A:$D,4,0),2),""))</f>
        <v/>
      </c>
      <c r="R129" s="75" t="str">
        <f>IF(C129="","",IFERROR(VLOOKUP($D$1,LaborRates!$A:$D,3,0)-10,""))</f>
        <v/>
      </c>
      <c r="S129" s="43" t="str">
        <f t="shared" si="5"/>
        <v/>
      </c>
    </row>
    <row r="130" spans="2:19" ht="15" customHeight="1" x14ac:dyDescent="0.25">
      <c r="B130" s="71"/>
      <c r="C130" s="71"/>
      <c r="D130" s="71"/>
      <c r="E130" s="71"/>
      <c r="F130" s="71"/>
      <c r="G130" s="71"/>
      <c r="H130" s="71"/>
      <c r="I130" s="72"/>
      <c r="J130" s="72"/>
      <c r="K130" s="72"/>
      <c r="L130" s="72"/>
      <c r="M130" s="72"/>
      <c r="N130" s="72"/>
      <c r="O130" s="73" t="str">
        <f t="shared" si="3"/>
        <v/>
      </c>
      <c r="P130" s="43" t="str">
        <f t="shared" si="4"/>
        <v/>
      </c>
      <c r="Q130" s="74" t="str">
        <f>IF(C130="","",IFERROR(ROUND(C130/VLOOKUP($D$1,LaborRates!$A:$D,4,0),2),""))</f>
        <v/>
      </c>
      <c r="R130" s="75" t="str">
        <f>IF(C130="","",IFERROR(VLOOKUP($D$1,LaborRates!$A:$D,3,0)-10,""))</f>
        <v/>
      </c>
      <c r="S130" s="43" t="str">
        <f t="shared" si="5"/>
        <v/>
      </c>
    </row>
    <row r="131" spans="2:19" ht="15" customHeight="1" x14ac:dyDescent="0.25">
      <c r="B131" s="71"/>
      <c r="C131" s="71"/>
      <c r="D131" s="71"/>
      <c r="E131" s="71"/>
      <c r="F131" s="71"/>
      <c r="G131" s="71"/>
      <c r="H131" s="71"/>
      <c r="I131" s="72"/>
      <c r="J131" s="72"/>
      <c r="K131" s="72"/>
      <c r="L131" s="72"/>
      <c r="M131" s="72"/>
      <c r="N131" s="72"/>
      <c r="O131" s="73" t="str">
        <f t="shared" si="3"/>
        <v/>
      </c>
      <c r="P131" s="43" t="str">
        <f t="shared" si="4"/>
        <v/>
      </c>
      <c r="Q131" s="74" t="str">
        <f>IF(C131="","",IFERROR(ROUND(C131/VLOOKUP($D$1,LaborRates!$A:$D,4,0),2),""))</f>
        <v/>
      </c>
      <c r="R131" s="75" t="str">
        <f>IF(C131="","",IFERROR(VLOOKUP($D$1,LaborRates!$A:$D,3,0)-10,""))</f>
        <v/>
      </c>
      <c r="S131" s="43" t="str">
        <f t="shared" si="5"/>
        <v/>
      </c>
    </row>
    <row r="132" spans="2:19" ht="15" customHeight="1" x14ac:dyDescent="0.25">
      <c r="B132" s="71"/>
      <c r="C132" s="71"/>
      <c r="D132" s="71"/>
      <c r="E132" s="71"/>
      <c r="F132" s="71"/>
      <c r="G132" s="71"/>
      <c r="H132" s="71"/>
      <c r="I132" s="72"/>
      <c r="J132" s="72"/>
      <c r="K132" s="72"/>
      <c r="L132" s="72"/>
      <c r="M132" s="72"/>
      <c r="N132" s="72"/>
      <c r="O132" s="73" t="str">
        <f t="shared" si="3"/>
        <v/>
      </c>
      <c r="P132" s="43" t="str">
        <f t="shared" si="4"/>
        <v/>
      </c>
      <c r="Q132" s="74" t="str">
        <f>IF(C132="","",IFERROR(ROUND(C132/VLOOKUP($D$1,LaborRates!$A:$D,4,0),2),""))</f>
        <v/>
      </c>
      <c r="R132" s="75" t="str">
        <f>IF(C132="","",IFERROR(VLOOKUP($D$1,LaborRates!$A:$D,3,0)-10,""))</f>
        <v/>
      </c>
      <c r="S132" s="43" t="str">
        <f t="shared" si="5"/>
        <v/>
      </c>
    </row>
    <row r="133" spans="2:19" ht="15" customHeight="1" x14ac:dyDescent="0.25">
      <c r="B133" s="71"/>
      <c r="C133" s="71"/>
      <c r="D133" s="71"/>
      <c r="E133" s="71"/>
      <c r="F133" s="71"/>
      <c r="G133" s="71"/>
      <c r="H133" s="71"/>
      <c r="I133" s="72"/>
      <c r="J133" s="72"/>
      <c r="K133" s="72"/>
      <c r="L133" s="72"/>
      <c r="M133" s="72"/>
      <c r="N133" s="72"/>
      <c r="O133" s="73" t="str">
        <f t="shared" si="3"/>
        <v/>
      </c>
      <c r="P133" s="43" t="str">
        <f t="shared" si="4"/>
        <v/>
      </c>
      <c r="Q133" s="74" t="str">
        <f>IF(C133="","",IFERROR(ROUND(C133/VLOOKUP($D$1,LaborRates!$A:$D,4,0),2),""))</f>
        <v/>
      </c>
      <c r="R133" s="75" t="str">
        <f>IF(C133="","",IFERROR(VLOOKUP($D$1,LaborRates!$A:$D,3,0)-10,""))</f>
        <v/>
      </c>
      <c r="S133" s="43" t="str">
        <f t="shared" si="5"/>
        <v/>
      </c>
    </row>
    <row r="134" spans="2:19" ht="15" customHeight="1" x14ac:dyDescent="0.25">
      <c r="B134" s="71"/>
      <c r="C134" s="71"/>
      <c r="D134" s="71"/>
      <c r="E134" s="71"/>
      <c r="F134" s="71"/>
      <c r="G134" s="71"/>
      <c r="H134" s="71"/>
      <c r="I134" s="72"/>
      <c r="J134" s="72"/>
      <c r="K134" s="72"/>
      <c r="L134" s="72"/>
      <c r="M134" s="72"/>
      <c r="N134" s="72"/>
      <c r="O134" s="73" t="str">
        <f t="shared" si="3"/>
        <v/>
      </c>
      <c r="P134" s="43" t="str">
        <f t="shared" si="4"/>
        <v/>
      </c>
      <c r="Q134" s="74" t="str">
        <f>IF(C134="","",IFERROR(ROUND(C134/VLOOKUP($D$1,LaborRates!$A:$D,4,0),2),""))</f>
        <v/>
      </c>
      <c r="R134" s="75" t="str">
        <f>IF(C134="","",IFERROR(VLOOKUP($D$1,LaborRates!$A:$D,3,0)-10,""))</f>
        <v/>
      </c>
      <c r="S134" s="43" t="str">
        <f t="shared" si="5"/>
        <v/>
      </c>
    </row>
    <row r="135" spans="2:19" ht="15" customHeight="1" x14ac:dyDescent="0.25">
      <c r="B135" s="71"/>
      <c r="C135" s="71"/>
      <c r="D135" s="71"/>
      <c r="E135" s="71"/>
      <c r="F135" s="71"/>
      <c r="G135" s="71"/>
      <c r="H135" s="71"/>
      <c r="I135" s="72"/>
      <c r="J135" s="72"/>
      <c r="K135" s="72"/>
      <c r="L135" s="72"/>
      <c r="M135" s="72"/>
      <c r="N135" s="72"/>
      <c r="O135" s="73" t="str">
        <f t="shared" si="3"/>
        <v/>
      </c>
      <c r="P135" s="43" t="str">
        <f t="shared" si="4"/>
        <v/>
      </c>
      <c r="Q135" s="74" t="str">
        <f>IF(C135="","",IFERROR(ROUND(C135/VLOOKUP($D$1,LaborRates!$A:$D,4,0),2),""))</f>
        <v/>
      </c>
      <c r="R135" s="75" t="str">
        <f>IF(C135="","",IFERROR(VLOOKUP($D$1,LaborRates!$A:$D,3,0)-10,""))</f>
        <v/>
      </c>
      <c r="S135" s="43" t="str">
        <f t="shared" si="5"/>
        <v/>
      </c>
    </row>
    <row r="136" spans="2:19" ht="15" customHeight="1" x14ac:dyDescent="0.25">
      <c r="B136" s="71"/>
      <c r="C136" s="71"/>
      <c r="D136" s="71"/>
      <c r="E136" s="71"/>
      <c r="F136" s="71"/>
      <c r="G136" s="71"/>
      <c r="H136" s="71"/>
      <c r="I136" s="72"/>
      <c r="J136" s="72"/>
      <c r="K136" s="72"/>
      <c r="L136" s="72"/>
      <c r="M136" s="72"/>
      <c r="N136" s="72"/>
      <c r="O136" s="73" t="str">
        <f t="shared" si="3"/>
        <v/>
      </c>
      <c r="P136" s="43" t="str">
        <f t="shared" si="4"/>
        <v/>
      </c>
      <c r="Q136" s="74" t="str">
        <f>IF(C136="","",IFERROR(ROUND(C136/VLOOKUP($D$1,LaborRates!$A:$D,4,0),2),""))</f>
        <v/>
      </c>
      <c r="R136" s="75" t="str">
        <f>IF(C136="","",IFERROR(VLOOKUP($D$1,LaborRates!$A:$D,3,0)-10,""))</f>
        <v/>
      </c>
      <c r="S136" s="43" t="str">
        <f t="shared" si="5"/>
        <v/>
      </c>
    </row>
    <row r="137" spans="2:19" ht="15" customHeight="1" x14ac:dyDescent="0.25">
      <c r="B137" s="71"/>
      <c r="C137" s="71"/>
      <c r="D137" s="71"/>
      <c r="E137" s="71"/>
      <c r="F137" s="71"/>
      <c r="G137" s="71"/>
      <c r="H137" s="71"/>
      <c r="I137" s="72"/>
      <c r="J137" s="72"/>
      <c r="K137" s="72"/>
      <c r="L137" s="72"/>
      <c r="M137" s="72"/>
      <c r="N137" s="72"/>
      <c r="O137" s="73" t="str">
        <f t="shared" si="3"/>
        <v/>
      </c>
      <c r="P137" s="43" t="str">
        <f t="shared" si="4"/>
        <v/>
      </c>
      <c r="Q137" s="74" t="str">
        <f>IF(C137="","",IFERROR(ROUND(C137/VLOOKUP($D$1,LaborRates!$A:$D,4,0),2),""))</f>
        <v/>
      </c>
      <c r="R137" s="75" t="str">
        <f>IF(C137="","",IFERROR(VLOOKUP($D$1,LaborRates!$A:$D,3,0)-10,""))</f>
        <v/>
      </c>
      <c r="S137" s="43" t="str">
        <f t="shared" si="5"/>
        <v/>
      </c>
    </row>
    <row r="138" spans="2:19" ht="15" customHeight="1" x14ac:dyDescent="0.25">
      <c r="B138" s="71"/>
      <c r="C138" s="71"/>
      <c r="D138" s="71"/>
      <c r="E138" s="71"/>
      <c r="F138" s="71"/>
      <c r="G138" s="71"/>
      <c r="H138" s="71"/>
      <c r="I138" s="72"/>
      <c r="J138" s="72"/>
      <c r="K138" s="72"/>
      <c r="L138" s="72"/>
      <c r="M138" s="72"/>
      <c r="N138" s="72"/>
      <c r="O138" s="73" t="str">
        <f t="shared" si="3"/>
        <v/>
      </c>
      <c r="P138" s="43" t="str">
        <f t="shared" si="4"/>
        <v/>
      </c>
      <c r="Q138" s="74" t="str">
        <f>IF(C138="","",IFERROR(ROUND(C138/VLOOKUP($D$1,LaborRates!$A:$D,4,0),2),""))</f>
        <v/>
      </c>
      <c r="R138" s="75" t="str">
        <f>IF(C138="","",IFERROR(VLOOKUP($D$1,LaborRates!$A:$D,3,0)-10,""))</f>
        <v/>
      </c>
      <c r="S138" s="43" t="str">
        <f t="shared" si="5"/>
        <v/>
      </c>
    </row>
    <row r="139" spans="2:19" ht="15" customHeight="1" x14ac:dyDescent="0.25">
      <c r="B139" s="71"/>
      <c r="C139" s="71"/>
      <c r="D139" s="71"/>
      <c r="E139" s="71"/>
      <c r="F139" s="71"/>
      <c r="G139" s="71"/>
      <c r="H139" s="71"/>
      <c r="I139" s="72"/>
      <c r="J139" s="72"/>
      <c r="K139" s="72"/>
      <c r="L139" s="72"/>
      <c r="M139" s="72"/>
      <c r="N139" s="72"/>
      <c r="O139" s="73" t="str">
        <f t="shared" si="3"/>
        <v/>
      </c>
      <c r="P139" s="43" t="str">
        <f t="shared" si="4"/>
        <v/>
      </c>
      <c r="Q139" s="74" t="str">
        <f>IF(C139="","",IFERROR(ROUND(C139/VLOOKUP($D$1,LaborRates!$A:$D,4,0),2),""))</f>
        <v/>
      </c>
      <c r="R139" s="75" t="str">
        <f>IF(C139="","",IFERROR(VLOOKUP($D$1,LaborRates!$A:$D,3,0)-10,""))</f>
        <v/>
      </c>
      <c r="S139" s="43" t="str">
        <f t="shared" si="5"/>
        <v/>
      </c>
    </row>
    <row r="140" spans="2:19" ht="15" customHeight="1" x14ac:dyDescent="0.25">
      <c r="B140" s="71"/>
      <c r="C140" s="71"/>
      <c r="D140" s="71"/>
      <c r="E140" s="71"/>
      <c r="F140" s="71"/>
      <c r="G140" s="71"/>
      <c r="H140" s="71"/>
      <c r="I140" s="72"/>
      <c r="J140" s="72"/>
      <c r="K140" s="72"/>
      <c r="L140" s="72"/>
      <c r="M140" s="72"/>
      <c r="N140" s="72"/>
      <c r="O140" s="73" t="str">
        <f t="shared" si="3"/>
        <v/>
      </c>
      <c r="P140" s="43" t="str">
        <f t="shared" si="4"/>
        <v/>
      </c>
      <c r="Q140" s="74" t="str">
        <f>IF(C140="","",IFERROR(ROUND(C140/VLOOKUP($D$1,LaborRates!$A:$D,4,0),2),""))</f>
        <v/>
      </c>
      <c r="R140" s="75" t="str">
        <f>IF(C140="","",IFERROR(VLOOKUP($D$1,LaborRates!$A:$D,3,0)-10,""))</f>
        <v/>
      </c>
      <c r="S140" s="43" t="str">
        <f t="shared" si="5"/>
        <v/>
      </c>
    </row>
    <row r="141" spans="2:19" ht="15" customHeight="1" x14ac:dyDescent="0.25">
      <c r="B141" s="71"/>
      <c r="C141" s="71"/>
      <c r="D141" s="71"/>
      <c r="E141" s="71"/>
      <c r="F141" s="71"/>
      <c r="G141" s="71"/>
      <c r="H141" s="71"/>
      <c r="I141" s="72"/>
      <c r="J141" s="72"/>
      <c r="K141" s="72"/>
      <c r="L141" s="72"/>
      <c r="M141" s="72"/>
      <c r="N141" s="72"/>
      <c r="O141" s="73" t="str">
        <f t="shared" si="3"/>
        <v/>
      </c>
      <c r="P141" s="43" t="str">
        <f t="shared" si="4"/>
        <v/>
      </c>
      <c r="Q141" s="74" t="str">
        <f>IF(C141="","",IFERROR(ROUND(C141/VLOOKUP($D$1,LaborRates!$A:$D,4,0),2),""))</f>
        <v/>
      </c>
      <c r="R141" s="75" t="str">
        <f>IF(C141="","",IFERROR(VLOOKUP($D$1,LaborRates!$A:$D,3,0)-10,""))</f>
        <v/>
      </c>
      <c r="S141" s="43" t="str">
        <f t="shared" si="5"/>
        <v/>
      </c>
    </row>
    <row r="142" spans="2:19" ht="15" customHeight="1" x14ac:dyDescent="0.25">
      <c r="B142" s="71"/>
      <c r="C142" s="71"/>
      <c r="D142" s="71"/>
      <c r="E142" s="71"/>
      <c r="F142" s="71"/>
      <c r="G142" s="71"/>
      <c r="H142" s="71"/>
      <c r="I142" s="72"/>
      <c r="J142" s="72"/>
      <c r="K142" s="72"/>
      <c r="L142" s="72"/>
      <c r="M142" s="72"/>
      <c r="N142" s="72"/>
      <c r="O142" s="73" t="str">
        <f t="shared" si="3"/>
        <v/>
      </c>
      <c r="P142" s="43" t="str">
        <f t="shared" si="4"/>
        <v/>
      </c>
      <c r="Q142" s="74" t="str">
        <f>IF(C142="","",IFERROR(ROUND(C142/VLOOKUP($D$1,LaborRates!$A:$D,4,0),2),""))</f>
        <v/>
      </c>
      <c r="R142" s="75" t="str">
        <f>IF(C142="","",IFERROR(VLOOKUP($D$1,LaborRates!$A:$D,3,0)-10,""))</f>
        <v/>
      </c>
      <c r="S142" s="43" t="str">
        <f t="shared" si="5"/>
        <v/>
      </c>
    </row>
    <row r="143" spans="2:19" ht="15" customHeight="1" x14ac:dyDescent="0.25">
      <c r="B143" s="71"/>
      <c r="C143" s="71"/>
      <c r="D143" s="71"/>
      <c r="E143" s="71"/>
      <c r="F143" s="71"/>
      <c r="G143" s="71"/>
      <c r="H143" s="71"/>
      <c r="I143" s="72"/>
      <c r="J143" s="72"/>
      <c r="K143" s="72"/>
      <c r="L143" s="72"/>
      <c r="M143" s="72"/>
      <c r="N143" s="72"/>
      <c r="O143" s="73" t="str">
        <f t="shared" ref="O143:O206" si="6">IF(B143&lt;&gt;"",$P$9,"")</f>
        <v/>
      </c>
      <c r="P143" s="43" t="str">
        <f t="shared" ref="P143:P206" si="7">IF(B143&lt;&gt;"",ROUND(B143*(1+O143),2),"")</f>
        <v/>
      </c>
      <c r="Q143" s="74" t="str">
        <f>IF(C143="","",IFERROR(ROUND(C143/VLOOKUP($D$1,LaborRates!$A:$D,4,0),2),""))</f>
        <v/>
      </c>
      <c r="R143" s="75" t="str">
        <f>IF(C143="","",IFERROR(VLOOKUP($D$1,LaborRates!$A:$D,3,0)-10,""))</f>
        <v/>
      </c>
      <c r="S143" s="43" t="str">
        <f t="shared" ref="S143:S206" si="8">IF(OR(Q143="",R143=""),"",ROUND(Q143*R143,2))</f>
        <v/>
      </c>
    </row>
    <row r="144" spans="2:19" ht="15" customHeight="1" x14ac:dyDescent="0.25">
      <c r="B144" s="71"/>
      <c r="C144" s="71"/>
      <c r="D144" s="71"/>
      <c r="E144" s="71"/>
      <c r="F144" s="71"/>
      <c r="G144" s="71"/>
      <c r="H144" s="71"/>
      <c r="I144" s="72"/>
      <c r="J144" s="72"/>
      <c r="K144" s="72"/>
      <c r="L144" s="72"/>
      <c r="M144" s="72"/>
      <c r="N144" s="72"/>
      <c r="O144" s="73" t="str">
        <f t="shared" si="6"/>
        <v/>
      </c>
      <c r="P144" s="43" t="str">
        <f t="shared" si="7"/>
        <v/>
      </c>
      <c r="Q144" s="74" t="str">
        <f>IF(C144="","",IFERROR(ROUND(C144/VLOOKUP($D$1,LaborRates!$A:$D,4,0),2),""))</f>
        <v/>
      </c>
      <c r="R144" s="75" t="str">
        <f>IF(C144="","",IFERROR(VLOOKUP($D$1,LaborRates!$A:$D,3,0)-10,""))</f>
        <v/>
      </c>
      <c r="S144" s="43" t="str">
        <f t="shared" si="8"/>
        <v/>
      </c>
    </row>
    <row r="145" spans="2:19" ht="15" customHeight="1" x14ac:dyDescent="0.25">
      <c r="B145" s="71"/>
      <c r="C145" s="71"/>
      <c r="D145" s="71"/>
      <c r="E145" s="71"/>
      <c r="F145" s="71"/>
      <c r="G145" s="71"/>
      <c r="H145" s="71"/>
      <c r="I145" s="72"/>
      <c r="J145" s="72"/>
      <c r="K145" s="72"/>
      <c r="L145" s="72"/>
      <c r="M145" s="72"/>
      <c r="N145" s="72"/>
      <c r="O145" s="73" t="str">
        <f t="shared" si="6"/>
        <v/>
      </c>
      <c r="P145" s="43" t="str">
        <f t="shared" si="7"/>
        <v/>
      </c>
      <c r="Q145" s="74" t="str">
        <f>IF(C145="","",IFERROR(ROUND(C145/VLOOKUP($D$1,LaborRates!$A:$D,4,0),2),""))</f>
        <v/>
      </c>
      <c r="R145" s="75" t="str">
        <f>IF(C145="","",IFERROR(VLOOKUP($D$1,LaborRates!$A:$D,3,0)-10,""))</f>
        <v/>
      </c>
      <c r="S145" s="43" t="str">
        <f t="shared" si="8"/>
        <v/>
      </c>
    </row>
    <row r="146" spans="2:19" ht="15" customHeight="1" x14ac:dyDescent="0.25">
      <c r="B146" s="71"/>
      <c r="C146" s="71"/>
      <c r="D146" s="71"/>
      <c r="E146" s="71"/>
      <c r="F146" s="71"/>
      <c r="G146" s="71"/>
      <c r="H146" s="71"/>
      <c r="I146" s="72"/>
      <c r="J146" s="72"/>
      <c r="K146" s="72"/>
      <c r="L146" s="72"/>
      <c r="M146" s="72"/>
      <c r="N146" s="72"/>
      <c r="O146" s="73" t="str">
        <f t="shared" si="6"/>
        <v/>
      </c>
      <c r="P146" s="43" t="str">
        <f t="shared" si="7"/>
        <v/>
      </c>
      <c r="Q146" s="74" t="str">
        <f>IF(C146="","",IFERROR(ROUND(C146/VLOOKUP($D$1,LaborRates!$A:$D,4,0),2),""))</f>
        <v/>
      </c>
      <c r="R146" s="75" t="str">
        <f>IF(C146="","",IFERROR(VLOOKUP($D$1,LaborRates!$A:$D,3,0)-10,""))</f>
        <v/>
      </c>
      <c r="S146" s="43" t="str">
        <f t="shared" si="8"/>
        <v/>
      </c>
    </row>
    <row r="147" spans="2:19" ht="15" customHeight="1" x14ac:dyDescent="0.25">
      <c r="B147" s="71"/>
      <c r="C147" s="71"/>
      <c r="D147" s="71"/>
      <c r="E147" s="71"/>
      <c r="F147" s="71"/>
      <c r="G147" s="71"/>
      <c r="H147" s="71"/>
      <c r="I147" s="72"/>
      <c r="J147" s="72"/>
      <c r="K147" s="72"/>
      <c r="L147" s="72"/>
      <c r="M147" s="72"/>
      <c r="N147" s="72"/>
      <c r="O147" s="73" t="str">
        <f t="shared" si="6"/>
        <v/>
      </c>
      <c r="P147" s="43" t="str">
        <f t="shared" si="7"/>
        <v/>
      </c>
      <c r="Q147" s="74" t="str">
        <f>IF(C147="","",IFERROR(ROUND(C147/VLOOKUP($D$1,LaborRates!$A:$D,4,0),2),""))</f>
        <v/>
      </c>
      <c r="R147" s="75" t="str">
        <f>IF(C147="","",IFERROR(VLOOKUP($D$1,LaborRates!$A:$D,3,0)-10,""))</f>
        <v/>
      </c>
      <c r="S147" s="43" t="str">
        <f t="shared" si="8"/>
        <v/>
      </c>
    </row>
    <row r="148" spans="2:19" ht="15" customHeight="1" x14ac:dyDescent="0.25">
      <c r="B148" s="71"/>
      <c r="C148" s="71"/>
      <c r="D148" s="71"/>
      <c r="E148" s="71"/>
      <c r="F148" s="71"/>
      <c r="G148" s="71"/>
      <c r="H148" s="71"/>
      <c r="I148" s="72"/>
      <c r="J148" s="72"/>
      <c r="K148" s="72"/>
      <c r="L148" s="72"/>
      <c r="M148" s="72"/>
      <c r="N148" s="72"/>
      <c r="O148" s="73" t="str">
        <f t="shared" si="6"/>
        <v/>
      </c>
      <c r="P148" s="43" t="str">
        <f t="shared" si="7"/>
        <v/>
      </c>
      <c r="Q148" s="74" t="str">
        <f>IF(C148="","",IFERROR(ROUND(C148/VLOOKUP($D$1,LaborRates!$A:$D,4,0),2),""))</f>
        <v/>
      </c>
      <c r="R148" s="75" t="str">
        <f>IF(C148="","",IFERROR(VLOOKUP($D$1,LaborRates!$A:$D,3,0)-10,""))</f>
        <v/>
      </c>
      <c r="S148" s="43" t="str">
        <f t="shared" si="8"/>
        <v/>
      </c>
    </row>
    <row r="149" spans="2:19" ht="15" customHeight="1" x14ac:dyDescent="0.25">
      <c r="B149" s="71"/>
      <c r="C149" s="71"/>
      <c r="D149" s="71"/>
      <c r="E149" s="71"/>
      <c r="F149" s="71"/>
      <c r="G149" s="71"/>
      <c r="H149" s="71"/>
      <c r="I149" s="72"/>
      <c r="J149" s="72"/>
      <c r="K149" s="72"/>
      <c r="L149" s="72"/>
      <c r="M149" s="72"/>
      <c r="N149" s="72"/>
      <c r="O149" s="73" t="str">
        <f t="shared" si="6"/>
        <v/>
      </c>
      <c r="P149" s="43" t="str">
        <f t="shared" si="7"/>
        <v/>
      </c>
      <c r="Q149" s="74" t="str">
        <f>IF(C149="","",IFERROR(ROUND(C149/VLOOKUP($D$1,LaborRates!$A:$D,4,0),2),""))</f>
        <v/>
      </c>
      <c r="R149" s="75" t="str">
        <f>IF(C149="","",IFERROR(VLOOKUP($D$1,LaborRates!$A:$D,3,0)-10,""))</f>
        <v/>
      </c>
      <c r="S149" s="43" t="str">
        <f t="shared" si="8"/>
        <v/>
      </c>
    </row>
    <row r="150" spans="2:19" ht="15" customHeight="1" x14ac:dyDescent="0.25">
      <c r="B150" s="71"/>
      <c r="C150" s="71"/>
      <c r="D150" s="71"/>
      <c r="E150" s="71"/>
      <c r="F150" s="71"/>
      <c r="G150" s="71"/>
      <c r="H150" s="71"/>
      <c r="I150" s="72"/>
      <c r="J150" s="72"/>
      <c r="K150" s="72"/>
      <c r="L150" s="72"/>
      <c r="M150" s="72"/>
      <c r="N150" s="72"/>
      <c r="O150" s="73" t="str">
        <f t="shared" si="6"/>
        <v/>
      </c>
      <c r="P150" s="43" t="str">
        <f t="shared" si="7"/>
        <v/>
      </c>
      <c r="Q150" s="74" t="str">
        <f>IF(C150="","",IFERROR(ROUND(C150/VLOOKUP($D$1,LaborRates!$A:$D,4,0),2),""))</f>
        <v/>
      </c>
      <c r="R150" s="75" t="str">
        <f>IF(C150="","",IFERROR(VLOOKUP($D$1,LaborRates!$A:$D,3,0)-10,""))</f>
        <v/>
      </c>
      <c r="S150" s="43" t="str">
        <f t="shared" si="8"/>
        <v/>
      </c>
    </row>
    <row r="151" spans="2:19" ht="15" customHeight="1" x14ac:dyDescent="0.25">
      <c r="B151" s="71"/>
      <c r="C151" s="71"/>
      <c r="D151" s="71"/>
      <c r="E151" s="71"/>
      <c r="F151" s="71"/>
      <c r="G151" s="71"/>
      <c r="H151" s="71"/>
      <c r="I151" s="72"/>
      <c r="J151" s="72"/>
      <c r="K151" s="72"/>
      <c r="L151" s="72"/>
      <c r="M151" s="72"/>
      <c r="N151" s="72"/>
      <c r="O151" s="73" t="str">
        <f t="shared" si="6"/>
        <v/>
      </c>
      <c r="P151" s="43" t="str">
        <f t="shared" si="7"/>
        <v/>
      </c>
      <c r="Q151" s="74" t="str">
        <f>IF(C151="","",IFERROR(ROUND(C151/VLOOKUP($D$1,LaborRates!$A:$D,4,0),2),""))</f>
        <v/>
      </c>
      <c r="R151" s="75" t="str">
        <f>IF(C151="","",IFERROR(VLOOKUP($D$1,LaborRates!$A:$D,3,0)-10,""))</f>
        <v/>
      </c>
      <c r="S151" s="43" t="str">
        <f t="shared" si="8"/>
        <v/>
      </c>
    </row>
    <row r="152" spans="2:19" ht="15" customHeight="1" x14ac:dyDescent="0.25">
      <c r="B152" s="71"/>
      <c r="C152" s="71"/>
      <c r="D152" s="71"/>
      <c r="E152" s="71"/>
      <c r="F152" s="71"/>
      <c r="G152" s="71"/>
      <c r="H152" s="71"/>
      <c r="I152" s="72"/>
      <c r="J152" s="72"/>
      <c r="K152" s="72"/>
      <c r="L152" s="72"/>
      <c r="M152" s="72"/>
      <c r="N152" s="72"/>
      <c r="O152" s="73" t="str">
        <f t="shared" si="6"/>
        <v/>
      </c>
      <c r="P152" s="43" t="str">
        <f t="shared" si="7"/>
        <v/>
      </c>
      <c r="Q152" s="74" t="str">
        <f>IF(C152="","",IFERROR(ROUND(C152/VLOOKUP($D$1,LaborRates!$A:$D,4,0),2),""))</f>
        <v/>
      </c>
      <c r="R152" s="75" t="str">
        <f>IF(C152="","",IFERROR(VLOOKUP($D$1,LaborRates!$A:$D,3,0)-10,""))</f>
        <v/>
      </c>
      <c r="S152" s="43" t="str">
        <f t="shared" si="8"/>
        <v/>
      </c>
    </row>
    <row r="153" spans="2:19" ht="15" customHeight="1" x14ac:dyDescent="0.25">
      <c r="B153" s="71"/>
      <c r="C153" s="71"/>
      <c r="D153" s="71"/>
      <c r="E153" s="71"/>
      <c r="F153" s="71"/>
      <c r="G153" s="71"/>
      <c r="H153" s="71"/>
      <c r="I153" s="72"/>
      <c r="J153" s="72"/>
      <c r="K153" s="72"/>
      <c r="L153" s="72"/>
      <c r="M153" s="72"/>
      <c r="N153" s="72"/>
      <c r="O153" s="73" t="str">
        <f t="shared" si="6"/>
        <v/>
      </c>
      <c r="P153" s="43" t="str">
        <f t="shared" si="7"/>
        <v/>
      </c>
      <c r="Q153" s="74" t="str">
        <f>IF(C153="","",IFERROR(ROUND(C153/VLOOKUP($D$1,LaborRates!$A:$D,4,0),2),""))</f>
        <v/>
      </c>
      <c r="R153" s="75" t="str">
        <f>IF(C153="","",IFERROR(VLOOKUP($D$1,LaborRates!$A:$D,3,0)-10,""))</f>
        <v/>
      </c>
      <c r="S153" s="43" t="str">
        <f t="shared" si="8"/>
        <v/>
      </c>
    </row>
    <row r="154" spans="2:19" ht="15" customHeight="1" x14ac:dyDescent="0.25">
      <c r="B154" s="71"/>
      <c r="C154" s="71"/>
      <c r="D154" s="71"/>
      <c r="E154" s="71"/>
      <c r="F154" s="71"/>
      <c r="G154" s="71"/>
      <c r="H154" s="71"/>
      <c r="I154" s="72"/>
      <c r="J154" s="72"/>
      <c r="K154" s="72"/>
      <c r="L154" s="72"/>
      <c r="M154" s="72"/>
      <c r="N154" s="72"/>
      <c r="O154" s="73" t="str">
        <f t="shared" si="6"/>
        <v/>
      </c>
      <c r="P154" s="43" t="str">
        <f t="shared" si="7"/>
        <v/>
      </c>
      <c r="Q154" s="74" t="str">
        <f>IF(C154="","",IFERROR(ROUND(C154/VLOOKUP($D$1,LaborRates!$A:$D,4,0),2),""))</f>
        <v/>
      </c>
      <c r="R154" s="75" t="str">
        <f>IF(C154="","",IFERROR(VLOOKUP($D$1,LaborRates!$A:$D,3,0)-10,""))</f>
        <v/>
      </c>
      <c r="S154" s="43" t="str">
        <f t="shared" si="8"/>
        <v/>
      </c>
    </row>
    <row r="155" spans="2:19" ht="15" customHeight="1" x14ac:dyDescent="0.25">
      <c r="B155" s="71"/>
      <c r="C155" s="71"/>
      <c r="D155" s="71"/>
      <c r="E155" s="71"/>
      <c r="F155" s="71"/>
      <c r="G155" s="71"/>
      <c r="H155" s="71"/>
      <c r="I155" s="72"/>
      <c r="J155" s="72"/>
      <c r="K155" s="72"/>
      <c r="L155" s="72"/>
      <c r="M155" s="72"/>
      <c r="N155" s="72"/>
      <c r="O155" s="73" t="str">
        <f t="shared" si="6"/>
        <v/>
      </c>
      <c r="P155" s="43" t="str">
        <f t="shared" si="7"/>
        <v/>
      </c>
      <c r="Q155" s="74" t="str">
        <f>IF(C155="","",IFERROR(ROUND(C155/VLOOKUP($D$1,LaborRates!$A:$D,4,0),2),""))</f>
        <v/>
      </c>
      <c r="R155" s="75" t="str">
        <f>IF(C155="","",IFERROR(VLOOKUP($D$1,LaborRates!$A:$D,3,0)-10,""))</f>
        <v/>
      </c>
      <c r="S155" s="43" t="str">
        <f t="shared" si="8"/>
        <v/>
      </c>
    </row>
    <row r="156" spans="2:19" ht="15" customHeight="1" x14ac:dyDescent="0.25">
      <c r="B156" s="71"/>
      <c r="C156" s="71"/>
      <c r="D156" s="71"/>
      <c r="E156" s="71"/>
      <c r="F156" s="71"/>
      <c r="G156" s="71"/>
      <c r="H156" s="71"/>
      <c r="I156" s="72"/>
      <c r="J156" s="72"/>
      <c r="K156" s="72"/>
      <c r="L156" s="72"/>
      <c r="M156" s="72"/>
      <c r="N156" s="72"/>
      <c r="O156" s="73" t="str">
        <f t="shared" si="6"/>
        <v/>
      </c>
      <c r="P156" s="43" t="str">
        <f t="shared" si="7"/>
        <v/>
      </c>
      <c r="Q156" s="74" t="str">
        <f>IF(C156="","",IFERROR(ROUND(C156/VLOOKUP($D$1,LaborRates!$A:$D,4,0),2),""))</f>
        <v/>
      </c>
      <c r="R156" s="75" t="str">
        <f>IF(C156="","",IFERROR(VLOOKUP($D$1,LaborRates!$A:$D,3,0)-10,""))</f>
        <v/>
      </c>
      <c r="S156" s="43" t="str">
        <f t="shared" si="8"/>
        <v/>
      </c>
    </row>
    <row r="157" spans="2:19" ht="15" customHeight="1" x14ac:dyDescent="0.25">
      <c r="B157" s="71"/>
      <c r="C157" s="71"/>
      <c r="D157" s="71"/>
      <c r="E157" s="71"/>
      <c r="F157" s="71"/>
      <c r="G157" s="71"/>
      <c r="H157" s="71"/>
      <c r="I157" s="72"/>
      <c r="J157" s="72"/>
      <c r="K157" s="72"/>
      <c r="L157" s="72"/>
      <c r="M157" s="72"/>
      <c r="N157" s="72"/>
      <c r="O157" s="73" t="str">
        <f t="shared" si="6"/>
        <v/>
      </c>
      <c r="P157" s="43" t="str">
        <f t="shared" si="7"/>
        <v/>
      </c>
      <c r="Q157" s="74" t="str">
        <f>IF(C157="","",IFERROR(ROUND(C157/VLOOKUP($D$1,LaborRates!$A:$D,4,0),2),""))</f>
        <v/>
      </c>
      <c r="R157" s="75" t="str">
        <f>IF(C157="","",IFERROR(VLOOKUP($D$1,LaborRates!$A:$D,3,0)-10,""))</f>
        <v/>
      </c>
      <c r="S157" s="43" t="str">
        <f t="shared" si="8"/>
        <v/>
      </c>
    </row>
    <row r="158" spans="2:19" ht="15" customHeight="1" x14ac:dyDescent="0.25">
      <c r="B158" s="71"/>
      <c r="C158" s="71"/>
      <c r="D158" s="71"/>
      <c r="E158" s="71"/>
      <c r="F158" s="71"/>
      <c r="G158" s="71"/>
      <c r="H158" s="71"/>
      <c r="I158" s="72"/>
      <c r="J158" s="72"/>
      <c r="K158" s="72"/>
      <c r="L158" s="72"/>
      <c r="M158" s="72"/>
      <c r="N158" s="72"/>
      <c r="O158" s="73" t="str">
        <f t="shared" si="6"/>
        <v/>
      </c>
      <c r="P158" s="43" t="str">
        <f t="shared" si="7"/>
        <v/>
      </c>
      <c r="Q158" s="74" t="str">
        <f>IF(C158="","",IFERROR(ROUND(C158/VLOOKUP($D$1,LaborRates!$A:$D,4,0),2),""))</f>
        <v/>
      </c>
      <c r="R158" s="75" t="str">
        <f>IF(C158="","",IFERROR(VLOOKUP($D$1,LaborRates!$A:$D,3,0)-10,""))</f>
        <v/>
      </c>
      <c r="S158" s="43" t="str">
        <f t="shared" si="8"/>
        <v/>
      </c>
    </row>
    <row r="159" spans="2:19" ht="15" customHeight="1" x14ac:dyDescent="0.25">
      <c r="B159" s="71"/>
      <c r="C159" s="71"/>
      <c r="D159" s="71"/>
      <c r="E159" s="71"/>
      <c r="F159" s="71"/>
      <c r="G159" s="71"/>
      <c r="H159" s="71"/>
      <c r="I159" s="72"/>
      <c r="J159" s="72"/>
      <c r="K159" s="72"/>
      <c r="L159" s="72"/>
      <c r="M159" s="72"/>
      <c r="N159" s="72"/>
      <c r="O159" s="73" t="str">
        <f t="shared" si="6"/>
        <v/>
      </c>
      <c r="P159" s="43" t="str">
        <f t="shared" si="7"/>
        <v/>
      </c>
      <c r="Q159" s="74" t="str">
        <f>IF(C159="","",IFERROR(ROUND(C159/VLOOKUP($D$1,LaborRates!$A:$D,4,0),2),""))</f>
        <v/>
      </c>
      <c r="R159" s="75" t="str">
        <f>IF(C159="","",IFERROR(VLOOKUP($D$1,LaborRates!$A:$D,3,0)-10,""))</f>
        <v/>
      </c>
      <c r="S159" s="43" t="str">
        <f t="shared" si="8"/>
        <v/>
      </c>
    </row>
    <row r="160" spans="2:19" ht="15" customHeight="1" x14ac:dyDescent="0.25">
      <c r="B160" s="71"/>
      <c r="C160" s="71"/>
      <c r="D160" s="71"/>
      <c r="E160" s="71"/>
      <c r="F160" s="71"/>
      <c r="G160" s="71"/>
      <c r="H160" s="71"/>
      <c r="I160" s="72"/>
      <c r="J160" s="72"/>
      <c r="K160" s="72"/>
      <c r="L160" s="72"/>
      <c r="M160" s="72"/>
      <c r="N160" s="72"/>
      <c r="O160" s="73" t="str">
        <f t="shared" si="6"/>
        <v/>
      </c>
      <c r="P160" s="43" t="str">
        <f t="shared" si="7"/>
        <v/>
      </c>
      <c r="Q160" s="74" t="str">
        <f>IF(C160="","",IFERROR(ROUND(C160/VLOOKUP($D$1,LaborRates!$A:$D,4,0),2),""))</f>
        <v/>
      </c>
      <c r="R160" s="75" t="str">
        <f>IF(C160="","",IFERROR(VLOOKUP($D$1,LaborRates!$A:$D,3,0)-10,""))</f>
        <v/>
      </c>
      <c r="S160" s="43" t="str">
        <f t="shared" si="8"/>
        <v/>
      </c>
    </row>
    <row r="161" spans="2:19" ht="15" customHeight="1" x14ac:dyDescent="0.25">
      <c r="B161" s="71"/>
      <c r="C161" s="71"/>
      <c r="D161" s="71"/>
      <c r="E161" s="71"/>
      <c r="F161" s="71"/>
      <c r="G161" s="71"/>
      <c r="H161" s="71"/>
      <c r="I161" s="72"/>
      <c r="J161" s="72"/>
      <c r="K161" s="72"/>
      <c r="L161" s="72"/>
      <c r="M161" s="72"/>
      <c r="N161" s="72"/>
      <c r="O161" s="73" t="str">
        <f t="shared" si="6"/>
        <v/>
      </c>
      <c r="P161" s="43" t="str">
        <f t="shared" si="7"/>
        <v/>
      </c>
      <c r="Q161" s="74" t="str">
        <f>IF(C161="","",IFERROR(ROUND(C161/VLOOKUP($D$1,LaborRates!$A:$D,4,0),2),""))</f>
        <v/>
      </c>
      <c r="R161" s="75" t="str">
        <f>IF(C161="","",IFERROR(VLOOKUP($D$1,LaborRates!$A:$D,3,0)-10,""))</f>
        <v/>
      </c>
      <c r="S161" s="43" t="str">
        <f t="shared" si="8"/>
        <v/>
      </c>
    </row>
    <row r="162" spans="2:19" ht="15" customHeight="1" x14ac:dyDescent="0.25">
      <c r="B162" s="71"/>
      <c r="C162" s="71"/>
      <c r="D162" s="71"/>
      <c r="E162" s="71"/>
      <c r="F162" s="71"/>
      <c r="G162" s="71"/>
      <c r="H162" s="71"/>
      <c r="I162" s="72"/>
      <c r="J162" s="72"/>
      <c r="K162" s="72"/>
      <c r="L162" s="72"/>
      <c r="M162" s="72"/>
      <c r="N162" s="72"/>
      <c r="O162" s="73" t="str">
        <f t="shared" si="6"/>
        <v/>
      </c>
      <c r="P162" s="43" t="str">
        <f t="shared" si="7"/>
        <v/>
      </c>
      <c r="Q162" s="74" t="str">
        <f>IF(C162="","",IFERROR(ROUND(C162/VLOOKUP($D$1,LaborRates!$A:$D,4,0),2),""))</f>
        <v/>
      </c>
      <c r="R162" s="75" t="str">
        <f>IF(C162="","",IFERROR(VLOOKUP($D$1,LaborRates!$A:$D,3,0)-10,""))</f>
        <v/>
      </c>
      <c r="S162" s="43" t="str">
        <f t="shared" si="8"/>
        <v/>
      </c>
    </row>
    <row r="163" spans="2:19" ht="15" customHeight="1" x14ac:dyDescent="0.25">
      <c r="B163" s="71"/>
      <c r="C163" s="71"/>
      <c r="D163" s="71"/>
      <c r="E163" s="71"/>
      <c r="F163" s="71"/>
      <c r="G163" s="71"/>
      <c r="H163" s="71"/>
      <c r="I163" s="72"/>
      <c r="J163" s="72"/>
      <c r="K163" s="72"/>
      <c r="L163" s="72"/>
      <c r="M163" s="72"/>
      <c r="N163" s="72"/>
      <c r="O163" s="73" t="str">
        <f t="shared" si="6"/>
        <v/>
      </c>
      <c r="P163" s="43" t="str">
        <f t="shared" si="7"/>
        <v/>
      </c>
      <c r="Q163" s="74" t="str">
        <f>IF(C163="","",IFERROR(ROUND(C163/VLOOKUP($D$1,LaborRates!$A:$D,4,0),2),""))</f>
        <v/>
      </c>
      <c r="R163" s="75" t="str">
        <f>IF(C163="","",IFERROR(VLOOKUP($D$1,LaborRates!$A:$D,3,0)-10,""))</f>
        <v/>
      </c>
      <c r="S163" s="43" t="str">
        <f t="shared" si="8"/>
        <v/>
      </c>
    </row>
    <row r="164" spans="2:19" ht="15" customHeight="1" x14ac:dyDescent="0.25">
      <c r="B164" s="71"/>
      <c r="C164" s="71"/>
      <c r="D164" s="71"/>
      <c r="E164" s="71"/>
      <c r="F164" s="71"/>
      <c r="G164" s="71"/>
      <c r="H164" s="71"/>
      <c r="I164" s="72"/>
      <c r="J164" s="72"/>
      <c r="K164" s="72"/>
      <c r="L164" s="72"/>
      <c r="M164" s="72"/>
      <c r="N164" s="72"/>
      <c r="O164" s="73" t="str">
        <f t="shared" si="6"/>
        <v/>
      </c>
      <c r="P164" s="43" t="str">
        <f t="shared" si="7"/>
        <v/>
      </c>
      <c r="Q164" s="74" t="str">
        <f>IF(C164="","",IFERROR(ROUND(C164/VLOOKUP($D$1,LaborRates!$A:$D,4,0),2),""))</f>
        <v/>
      </c>
      <c r="R164" s="75" t="str">
        <f>IF(C164="","",IFERROR(VLOOKUP($D$1,LaborRates!$A:$D,3,0)-10,""))</f>
        <v/>
      </c>
      <c r="S164" s="43" t="str">
        <f t="shared" si="8"/>
        <v/>
      </c>
    </row>
    <row r="165" spans="2:19" ht="15" customHeight="1" x14ac:dyDescent="0.25">
      <c r="B165" s="71"/>
      <c r="C165" s="71"/>
      <c r="D165" s="71"/>
      <c r="E165" s="71"/>
      <c r="F165" s="71"/>
      <c r="G165" s="71"/>
      <c r="H165" s="71"/>
      <c r="I165" s="72"/>
      <c r="J165" s="72"/>
      <c r="K165" s="72"/>
      <c r="L165" s="72"/>
      <c r="M165" s="72"/>
      <c r="N165" s="72"/>
      <c r="O165" s="73" t="str">
        <f t="shared" si="6"/>
        <v/>
      </c>
      <c r="P165" s="43" t="str">
        <f t="shared" si="7"/>
        <v/>
      </c>
      <c r="Q165" s="74" t="str">
        <f>IF(C165="","",IFERROR(ROUND(C165/VLOOKUP($D$1,LaborRates!$A:$D,4,0),2),""))</f>
        <v/>
      </c>
      <c r="R165" s="75" t="str">
        <f>IF(C165="","",IFERROR(VLOOKUP($D$1,LaborRates!$A:$D,3,0)-10,""))</f>
        <v/>
      </c>
      <c r="S165" s="43" t="str">
        <f t="shared" si="8"/>
        <v/>
      </c>
    </row>
    <row r="166" spans="2:19" ht="15" customHeight="1" x14ac:dyDescent="0.25">
      <c r="B166" s="71"/>
      <c r="C166" s="71"/>
      <c r="D166" s="71"/>
      <c r="E166" s="71"/>
      <c r="F166" s="71"/>
      <c r="G166" s="71"/>
      <c r="H166" s="71"/>
      <c r="I166" s="72"/>
      <c r="J166" s="72"/>
      <c r="K166" s="72"/>
      <c r="L166" s="72"/>
      <c r="M166" s="72"/>
      <c r="N166" s="72"/>
      <c r="O166" s="73" t="str">
        <f t="shared" si="6"/>
        <v/>
      </c>
      <c r="P166" s="43" t="str">
        <f t="shared" si="7"/>
        <v/>
      </c>
      <c r="Q166" s="74" t="str">
        <f>IF(C166="","",IFERROR(ROUND(C166/VLOOKUP($D$1,LaborRates!$A:$D,4,0),2),""))</f>
        <v/>
      </c>
      <c r="R166" s="75" t="str">
        <f>IF(C166="","",IFERROR(VLOOKUP($D$1,LaborRates!$A:$D,3,0)-10,""))</f>
        <v/>
      </c>
      <c r="S166" s="43" t="str">
        <f t="shared" si="8"/>
        <v/>
      </c>
    </row>
    <row r="167" spans="2:19" ht="15" customHeight="1" x14ac:dyDescent="0.25">
      <c r="B167" s="71"/>
      <c r="C167" s="71"/>
      <c r="D167" s="71"/>
      <c r="E167" s="71"/>
      <c r="F167" s="71"/>
      <c r="G167" s="71"/>
      <c r="H167" s="71"/>
      <c r="I167" s="72"/>
      <c r="J167" s="72"/>
      <c r="K167" s="72"/>
      <c r="L167" s="72"/>
      <c r="M167" s="72"/>
      <c r="N167" s="72"/>
      <c r="O167" s="73" t="str">
        <f t="shared" si="6"/>
        <v/>
      </c>
      <c r="P167" s="43" t="str">
        <f t="shared" si="7"/>
        <v/>
      </c>
      <c r="Q167" s="74" t="str">
        <f>IF(C167="","",IFERROR(ROUND(C167/VLOOKUP($D$1,LaborRates!$A:$D,4,0),2),""))</f>
        <v/>
      </c>
      <c r="R167" s="75" t="str">
        <f>IF(C167="","",IFERROR(VLOOKUP($D$1,LaborRates!$A:$D,3,0)-10,""))</f>
        <v/>
      </c>
      <c r="S167" s="43" t="str">
        <f t="shared" si="8"/>
        <v/>
      </c>
    </row>
    <row r="168" spans="2:19" ht="15" customHeight="1" x14ac:dyDescent="0.25">
      <c r="B168" s="71"/>
      <c r="C168" s="71"/>
      <c r="D168" s="71"/>
      <c r="E168" s="71"/>
      <c r="F168" s="71"/>
      <c r="G168" s="71"/>
      <c r="H168" s="71"/>
      <c r="I168" s="72"/>
      <c r="J168" s="72"/>
      <c r="K168" s="72"/>
      <c r="L168" s="72"/>
      <c r="M168" s="72"/>
      <c r="N168" s="72"/>
      <c r="O168" s="73" t="str">
        <f t="shared" si="6"/>
        <v/>
      </c>
      <c r="P168" s="43" t="str">
        <f t="shared" si="7"/>
        <v/>
      </c>
      <c r="Q168" s="74" t="str">
        <f>IF(C168="","",IFERROR(ROUND(C168/VLOOKUP($D$1,LaborRates!$A:$D,4,0),2),""))</f>
        <v/>
      </c>
      <c r="R168" s="75" t="str">
        <f>IF(C168="","",IFERROR(VLOOKUP($D$1,LaborRates!$A:$D,3,0)-10,""))</f>
        <v/>
      </c>
      <c r="S168" s="43" t="str">
        <f t="shared" si="8"/>
        <v/>
      </c>
    </row>
    <row r="169" spans="2:19" ht="15" customHeight="1" x14ac:dyDescent="0.25">
      <c r="B169" s="71"/>
      <c r="C169" s="71"/>
      <c r="D169" s="71"/>
      <c r="E169" s="71"/>
      <c r="F169" s="71"/>
      <c r="G169" s="71"/>
      <c r="H169" s="71"/>
      <c r="I169" s="72"/>
      <c r="J169" s="72"/>
      <c r="K169" s="72"/>
      <c r="L169" s="72"/>
      <c r="M169" s="72"/>
      <c r="N169" s="72"/>
      <c r="O169" s="73" t="str">
        <f t="shared" si="6"/>
        <v/>
      </c>
      <c r="P169" s="43" t="str">
        <f t="shared" si="7"/>
        <v/>
      </c>
      <c r="Q169" s="74" t="str">
        <f>IF(C169="","",IFERROR(ROUND(C169/VLOOKUP($D$1,LaborRates!$A:$D,4,0),2),""))</f>
        <v/>
      </c>
      <c r="R169" s="75" t="str">
        <f>IF(C169="","",IFERROR(VLOOKUP($D$1,LaborRates!$A:$D,3,0)-10,""))</f>
        <v/>
      </c>
      <c r="S169" s="43" t="str">
        <f t="shared" si="8"/>
        <v/>
      </c>
    </row>
    <row r="170" spans="2:19" ht="15" customHeight="1" x14ac:dyDescent="0.25">
      <c r="B170" s="71"/>
      <c r="C170" s="71"/>
      <c r="D170" s="71"/>
      <c r="E170" s="71"/>
      <c r="F170" s="71"/>
      <c r="G170" s="71"/>
      <c r="H170" s="71"/>
      <c r="I170" s="72"/>
      <c r="J170" s="72"/>
      <c r="K170" s="72"/>
      <c r="L170" s="72"/>
      <c r="M170" s="72"/>
      <c r="N170" s="72"/>
      <c r="O170" s="73" t="str">
        <f t="shared" si="6"/>
        <v/>
      </c>
      <c r="P170" s="43" t="str">
        <f t="shared" si="7"/>
        <v/>
      </c>
      <c r="Q170" s="74" t="str">
        <f>IF(C170="","",IFERROR(ROUND(C170/VLOOKUP($D$1,LaborRates!$A:$D,4,0),2),""))</f>
        <v/>
      </c>
      <c r="R170" s="75" t="str">
        <f>IF(C170="","",IFERROR(VLOOKUP($D$1,LaborRates!$A:$D,3,0)-10,""))</f>
        <v/>
      </c>
      <c r="S170" s="43" t="str">
        <f t="shared" si="8"/>
        <v/>
      </c>
    </row>
    <row r="171" spans="2:19" ht="15" customHeight="1" x14ac:dyDescent="0.25">
      <c r="B171" s="71"/>
      <c r="C171" s="71"/>
      <c r="D171" s="71"/>
      <c r="E171" s="71"/>
      <c r="F171" s="71"/>
      <c r="G171" s="71"/>
      <c r="H171" s="71"/>
      <c r="I171" s="72"/>
      <c r="J171" s="72"/>
      <c r="K171" s="72"/>
      <c r="L171" s="72"/>
      <c r="M171" s="72"/>
      <c r="N171" s="72"/>
      <c r="O171" s="73" t="str">
        <f t="shared" si="6"/>
        <v/>
      </c>
      <c r="P171" s="43" t="str">
        <f t="shared" si="7"/>
        <v/>
      </c>
      <c r="Q171" s="74" t="str">
        <f>IF(C171="","",IFERROR(ROUND(C171/VLOOKUP($D$1,LaborRates!$A:$D,4,0),2),""))</f>
        <v/>
      </c>
      <c r="R171" s="75" t="str">
        <f>IF(C171="","",IFERROR(VLOOKUP($D$1,LaborRates!$A:$D,3,0)-10,""))</f>
        <v/>
      </c>
      <c r="S171" s="43" t="str">
        <f t="shared" si="8"/>
        <v/>
      </c>
    </row>
    <row r="172" spans="2:19" ht="15" customHeight="1" x14ac:dyDescent="0.25">
      <c r="B172" s="71"/>
      <c r="C172" s="71"/>
      <c r="D172" s="71"/>
      <c r="E172" s="71"/>
      <c r="F172" s="71"/>
      <c r="G172" s="71"/>
      <c r="H172" s="71"/>
      <c r="I172" s="72"/>
      <c r="J172" s="72"/>
      <c r="K172" s="72"/>
      <c r="L172" s="72"/>
      <c r="M172" s="72"/>
      <c r="N172" s="72"/>
      <c r="O172" s="73" t="str">
        <f t="shared" si="6"/>
        <v/>
      </c>
      <c r="P172" s="43" t="str">
        <f t="shared" si="7"/>
        <v/>
      </c>
      <c r="Q172" s="74" t="str">
        <f>IF(C172="","",IFERROR(ROUND(C172/VLOOKUP($D$1,LaborRates!$A:$D,4,0),2),""))</f>
        <v/>
      </c>
      <c r="R172" s="75" t="str">
        <f>IF(C172="","",IFERROR(VLOOKUP($D$1,LaborRates!$A:$D,3,0)-10,""))</f>
        <v/>
      </c>
      <c r="S172" s="43" t="str">
        <f t="shared" si="8"/>
        <v/>
      </c>
    </row>
    <row r="173" spans="2:19" ht="15" customHeight="1" x14ac:dyDescent="0.25">
      <c r="B173" s="71"/>
      <c r="C173" s="71"/>
      <c r="D173" s="71"/>
      <c r="E173" s="71"/>
      <c r="F173" s="71"/>
      <c r="G173" s="71"/>
      <c r="H173" s="71"/>
      <c r="I173" s="72"/>
      <c r="J173" s="72"/>
      <c r="K173" s="72"/>
      <c r="L173" s="72"/>
      <c r="M173" s="72"/>
      <c r="N173" s="72"/>
      <c r="O173" s="73" t="str">
        <f t="shared" si="6"/>
        <v/>
      </c>
      <c r="P173" s="43" t="str">
        <f t="shared" si="7"/>
        <v/>
      </c>
      <c r="Q173" s="74" t="str">
        <f>IF(C173="","",IFERROR(ROUND(C173/VLOOKUP($D$1,LaborRates!$A:$D,4,0),2),""))</f>
        <v/>
      </c>
      <c r="R173" s="75" t="str">
        <f>IF(C173="","",IFERROR(VLOOKUP($D$1,LaborRates!$A:$D,3,0)-10,""))</f>
        <v/>
      </c>
      <c r="S173" s="43" t="str">
        <f t="shared" si="8"/>
        <v/>
      </c>
    </row>
    <row r="174" spans="2:19" ht="15" customHeight="1" x14ac:dyDescent="0.25">
      <c r="B174" s="71"/>
      <c r="C174" s="71"/>
      <c r="D174" s="71"/>
      <c r="E174" s="71"/>
      <c r="F174" s="71"/>
      <c r="G174" s="71"/>
      <c r="H174" s="71"/>
      <c r="I174" s="72"/>
      <c r="J174" s="72"/>
      <c r="K174" s="72"/>
      <c r="L174" s="72"/>
      <c r="M174" s="72"/>
      <c r="N174" s="72"/>
      <c r="O174" s="73" t="str">
        <f t="shared" si="6"/>
        <v/>
      </c>
      <c r="P174" s="43" t="str">
        <f t="shared" si="7"/>
        <v/>
      </c>
      <c r="Q174" s="74" t="str">
        <f>IF(C174="","",IFERROR(ROUND(C174/VLOOKUP($D$1,LaborRates!$A:$D,4,0),2),""))</f>
        <v/>
      </c>
      <c r="R174" s="75" t="str">
        <f>IF(C174="","",IFERROR(VLOOKUP($D$1,LaborRates!$A:$D,3,0)-10,""))</f>
        <v/>
      </c>
      <c r="S174" s="43" t="str">
        <f t="shared" si="8"/>
        <v/>
      </c>
    </row>
    <row r="175" spans="2:19" ht="15" customHeight="1" x14ac:dyDescent="0.25">
      <c r="B175" s="71"/>
      <c r="C175" s="71"/>
      <c r="D175" s="71"/>
      <c r="E175" s="71"/>
      <c r="F175" s="71"/>
      <c r="G175" s="71"/>
      <c r="H175" s="71"/>
      <c r="I175" s="72"/>
      <c r="J175" s="72"/>
      <c r="K175" s="72"/>
      <c r="L175" s="72"/>
      <c r="M175" s="72"/>
      <c r="N175" s="72"/>
      <c r="O175" s="73" t="str">
        <f t="shared" si="6"/>
        <v/>
      </c>
      <c r="P175" s="43" t="str">
        <f t="shared" si="7"/>
        <v/>
      </c>
      <c r="Q175" s="74" t="str">
        <f>IF(C175="","",IFERROR(ROUND(C175/VLOOKUP($D$1,LaborRates!$A:$D,4,0),2),""))</f>
        <v/>
      </c>
      <c r="R175" s="75" t="str">
        <f>IF(C175="","",IFERROR(VLOOKUP($D$1,LaborRates!$A:$D,3,0)-10,""))</f>
        <v/>
      </c>
      <c r="S175" s="43" t="str">
        <f t="shared" si="8"/>
        <v/>
      </c>
    </row>
    <row r="176" spans="2:19" ht="15" customHeight="1" x14ac:dyDescent="0.25">
      <c r="B176" s="71"/>
      <c r="C176" s="71"/>
      <c r="D176" s="71"/>
      <c r="E176" s="71"/>
      <c r="F176" s="71"/>
      <c r="G176" s="71"/>
      <c r="H176" s="71"/>
      <c r="I176" s="72"/>
      <c r="J176" s="72"/>
      <c r="K176" s="72"/>
      <c r="L176" s="72"/>
      <c r="M176" s="72"/>
      <c r="N176" s="72"/>
      <c r="O176" s="73" t="str">
        <f t="shared" si="6"/>
        <v/>
      </c>
      <c r="P176" s="43" t="str">
        <f t="shared" si="7"/>
        <v/>
      </c>
      <c r="Q176" s="74" t="str">
        <f>IF(C176="","",IFERROR(ROUND(C176/VLOOKUP($D$1,LaborRates!$A:$D,4,0),2),""))</f>
        <v/>
      </c>
      <c r="R176" s="75" t="str">
        <f>IF(C176="","",IFERROR(VLOOKUP($D$1,LaborRates!$A:$D,3,0)-10,""))</f>
        <v/>
      </c>
      <c r="S176" s="43" t="str">
        <f t="shared" si="8"/>
        <v/>
      </c>
    </row>
    <row r="177" spans="2:19" ht="15" customHeight="1" x14ac:dyDescent="0.25">
      <c r="B177" s="71"/>
      <c r="C177" s="71"/>
      <c r="D177" s="71"/>
      <c r="E177" s="71"/>
      <c r="F177" s="71"/>
      <c r="G177" s="71"/>
      <c r="H177" s="71"/>
      <c r="I177" s="72"/>
      <c r="J177" s="72"/>
      <c r="K177" s="72"/>
      <c r="L177" s="72"/>
      <c r="M177" s="72"/>
      <c r="N177" s="72"/>
      <c r="O177" s="73" t="str">
        <f t="shared" si="6"/>
        <v/>
      </c>
      <c r="P177" s="43" t="str">
        <f t="shared" si="7"/>
        <v/>
      </c>
      <c r="Q177" s="74" t="str">
        <f>IF(C177="","",IFERROR(ROUND(C177/VLOOKUP($D$1,LaborRates!$A:$D,4,0),2),""))</f>
        <v/>
      </c>
      <c r="R177" s="75" t="str">
        <f>IF(C177="","",IFERROR(VLOOKUP($D$1,LaborRates!$A:$D,3,0)-10,""))</f>
        <v/>
      </c>
      <c r="S177" s="43" t="str">
        <f t="shared" si="8"/>
        <v/>
      </c>
    </row>
    <row r="178" spans="2:19" ht="15" customHeight="1" x14ac:dyDescent="0.25">
      <c r="B178" s="71"/>
      <c r="C178" s="71"/>
      <c r="D178" s="71"/>
      <c r="E178" s="71"/>
      <c r="F178" s="71"/>
      <c r="G178" s="71"/>
      <c r="H178" s="71"/>
      <c r="I178" s="72"/>
      <c r="J178" s="72"/>
      <c r="K178" s="72"/>
      <c r="L178" s="72"/>
      <c r="M178" s="72"/>
      <c r="N178" s="72"/>
      <c r="O178" s="73" t="str">
        <f t="shared" si="6"/>
        <v/>
      </c>
      <c r="P178" s="43" t="str">
        <f t="shared" si="7"/>
        <v/>
      </c>
      <c r="Q178" s="74" t="str">
        <f>IF(C178="","",IFERROR(ROUND(C178/VLOOKUP($D$1,LaborRates!$A:$D,4,0),2),""))</f>
        <v/>
      </c>
      <c r="R178" s="75" t="str">
        <f>IF(C178="","",IFERROR(VLOOKUP($D$1,LaborRates!$A:$D,3,0)-10,""))</f>
        <v/>
      </c>
      <c r="S178" s="43" t="str">
        <f t="shared" si="8"/>
        <v/>
      </c>
    </row>
    <row r="179" spans="2:19" ht="15" customHeight="1" x14ac:dyDescent="0.25">
      <c r="B179" s="71"/>
      <c r="C179" s="71"/>
      <c r="D179" s="71"/>
      <c r="E179" s="71"/>
      <c r="F179" s="71"/>
      <c r="G179" s="71"/>
      <c r="H179" s="71"/>
      <c r="I179" s="72"/>
      <c r="J179" s="72"/>
      <c r="K179" s="72"/>
      <c r="L179" s="72"/>
      <c r="M179" s="72"/>
      <c r="N179" s="72"/>
      <c r="O179" s="73" t="str">
        <f t="shared" si="6"/>
        <v/>
      </c>
      <c r="P179" s="43" t="str">
        <f t="shared" si="7"/>
        <v/>
      </c>
      <c r="Q179" s="74" t="str">
        <f>IF(C179="","",IFERROR(ROUND(C179/VLOOKUP($D$1,LaborRates!$A:$D,4,0),2),""))</f>
        <v/>
      </c>
      <c r="R179" s="75" t="str">
        <f>IF(C179="","",IFERROR(VLOOKUP($D$1,LaborRates!$A:$D,3,0)-10,""))</f>
        <v/>
      </c>
      <c r="S179" s="43" t="str">
        <f t="shared" si="8"/>
        <v/>
      </c>
    </row>
    <row r="180" spans="2:19" ht="15" customHeight="1" x14ac:dyDescent="0.25">
      <c r="B180" s="71"/>
      <c r="C180" s="71"/>
      <c r="D180" s="71"/>
      <c r="E180" s="71"/>
      <c r="F180" s="71"/>
      <c r="G180" s="71"/>
      <c r="H180" s="71"/>
      <c r="I180" s="72"/>
      <c r="J180" s="72"/>
      <c r="K180" s="72"/>
      <c r="L180" s="72"/>
      <c r="M180" s="72"/>
      <c r="N180" s="72"/>
      <c r="O180" s="73" t="str">
        <f t="shared" si="6"/>
        <v/>
      </c>
      <c r="P180" s="43" t="str">
        <f t="shared" si="7"/>
        <v/>
      </c>
      <c r="Q180" s="74" t="str">
        <f>IF(C180="","",IFERROR(ROUND(C180/VLOOKUP($D$1,LaborRates!$A:$D,4,0),2),""))</f>
        <v/>
      </c>
      <c r="R180" s="75" t="str">
        <f>IF(C180="","",IFERROR(VLOOKUP($D$1,LaborRates!$A:$D,3,0)-10,""))</f>
        <v/>
      </c>
      <c r="S180" s="43" t="str">
        <f t="shared" si="8"/>
        <v/>
      </c>
    </row>
    <row r="181" spans="2:19" ht="15" customHeight="1" x14ac:dyDescent="0.25">
      <c r="B181" s="71"/>
      <c r="C181" s="71"/>
      <c r="D181" s="71"/>
      <c r="E181" s="71"/>
      <c r="F181" s="71"/>
      <c r="G181" s="71"/>
      <c r="H181" s="71"/>
      <c r="I181" s="72"/>
      <c r="J181" s="72"/>
      <c r="K181" s="72"/>
      <c r="L181" s="72"/>
      <c r="M181" s="72"/>
      <c r="N181" s="72"/>
      <c r="O181" s="73" t="str">
        <f t="shared" si="6"/>
        <v/>
      </c>
      <c r="P181" s="43" t="str">
        <f t="shared" si="7"/>
        <v/>
      </c>
      <c r="Q181" s="74" t="str">
        <f>IF(C181="","",IFERROR(ROUND(C181/VLOOKUP($D$1,LaborRates!$A:$D,4,0),2),""))</f>
        <v/>
      </c>
      <c r="R181" s="75" t="str">
        <f>IF(C181="","",IFERROR(VLOOKUP($D$1,LaborRates!$A:$D,3,0)-10,""))</f>
        <v/>
      </c>
      <c r="S181" s="43" t="str">
        <f t="shared" si="8"/>
        <v/>
      </c>
    </row>
    <row r="182" spans="2:19" ht="15" customHeight="1" x14ac:dyDescent="0.25">
      <c r="B182" s="71"/>
      <c r="C182" s="71"/>
      <c r="D182" s="71"/>
      <c r="E182" s="71"/>
      <c r="F182" s="71"/>
      <c r="G182" s="71"/>
      <c r="H182" s="71"/>
      <c r="I182" s="72"/>
      <c r="J182" s="72"/>
      <c r="K182" s="72"/>
      <c r="L182" s="72"/>
      <c r="M182" s="72"/>
      <c r="N182" s="72"/>
      <c r="O182" s="73" t="str">
        <f t="shared" si="6"/>
        <v/>
      </c>
      <c r="P182" s="43" t="str">
        <f t="shared" si="7"/>
        <v/>
      </c>
      <c r="Q182" s="74" t="str">
        <f>IF(C182="","",IFERROR(ROUND(C182/VLOOKUP($D$1,LaborRates!$A:$D,4,0),2),""))</f>
        <v/>
      </c>
      <c r="R182" s="75" t="str">
        <f>IF(C182="","",IFERROR(VLOOKUP($D$1,LaborRates!$A:$D,3,0)-10,""))</f>
        <v/>
      </c>
      <c r="S182" s="43" t="str">
        <f t="shared" si="8"/>
        <v/>
      </c>
    </row>
    <row r="183" spans="2:19" ht="15" customHeight="1" x14ac:dyDescent="0.25">
      <c r="B183" s="71"/>
      <c r="C183" s="71"/>
      <c r="D183" s="71"/>
      <c r="E183" s="71"/>
      <c r="F183" s="71"/>
      <c r="G183" s="71"/>
      <c r="H183" s="71"/>
      <c r="I183" s="72"/>
      <c r="J183" s="72"/>
      <c r="K183" s="72"/>
      <c r="L183" s="72"/>
      <c r="M183" s="72"/>
      <c r="N183" s="72"/>
      <c r="O183" s="73" t="str">
        <f t="shared" si="6"/>
        <v/>
      </c>
      <c r="P183" s="43" t="str">
        <f t="shared" si="7"/>
        <v/>
      </c>
      <c r="Q183" s="74" t="str">
        <f>IF(C183="","",IFERROR(ROUND(C183/VLOOKUP($D$1,LaborRates!$A:$D,4,0),2),""))</f>
        <v/>
      </c>
      <c r="R183" s="75" t="str">
        <f>IF(C183="","",IFERROR(VLOOKUP($D$1,LaborRates!$A:$D,3,0)-10,""))</f>
        <v/>
      </c>
      <c r="S183" s="43" t="str">
        <f t="shared" si="8"/>
        <v/>
      </c>
    </row>
    <row r="184" spans="2:19" ht="15" customHeight="1" x14ac:dyDescent="0.25">
      <c r="B184" s="71"/>
      <c r="C184" s="71"/>
      <c r="D184" s="71"/>
      <c r="E184" s="71"/>
      <c r="F184" s="71"/>
      <c r="G184" s="71"/>
      <c r="H184" s="71"/>
      <c r="I184" s="72"/>
      <c r="J184" s="72"/>
      <c r="K184" s="72"/>
      <c r="L184" s="72"/>
      <c r="M184" s="72"/>
      <c r="N184" s="72"/>
      <c r="O184" s="73" t="str">
        <f t="shared" si="6"/>
        <v/>
      </c>
      <c r="P184" s="43" t="str">
        <f t="shared" si="7"/>
        <v/>
      </c>
      <c r="Q184" s="74" t="str">
        <f>IF(C184="","",IFERROR(ROUND(C184/VLOOKUP($D$1,LaborRates!$A:$D,4,0),2),""))</f>
        <v/>
      </c>
      <c r="R184" s="75" t="str">
        <f>IF(C184="","",IFERROR(VLOOKUP($D$1,LaborRates!$A:$D,3,0)-10,""))</f>
        <v/>
      </c>
      <c r="S184" s="43" t="str">
        <f t="shared" si="8"/>
        <v/>
      </c>
    </row>
    <row r="185" spans="2:19" ht="15" customHeight="1" x14ac:dyDescent="0.25">
      <c r="B185" s="71"/>
      <c r="C185" s="71"/>
      <c r="D185" s="71"/>
      <c r="E185" s="71"/>
      <c r="F185" s="71"/>
      <c r="G185" s="71"/>
      <c r="H185" s="71"/>
      <c r="I185" s="72"/>
      <c r="J185" s="72"/>
      <c r="K185" s="72"/>
      <c r="L185" s="72"/>
      <c r="M185" s="72"/>
      <c r="N185" s="72"/>
      <c r="O185" s="73" t="str">
        <f t="shared" si="6"/>
        <v/>
      </c>
      <c r="P185" s="43" t="str">
        <f t="shared" si="7"/>
        <v/>
      </c>
      <c r="Q185" s="74" t="str">
        <f>IF(C185="","",IFERROR(ROUND(C185/VLOOKUP($D$1,LaborRates!$A:$D,4,0),2),""))</f>
        <v/>
      </c>
      <c r="R185" s="75" t="str">
        <f>IF(C185="","",IFERROR(VLOOKUP($D$1,LaborRates!$A:$D,3,0)-10,""))</f>
        <v/>
      </c>
      <c r="S185" s="43" t="str">
        <f t="shared" si="8"/>
        <v/>
      </c>
    </row>
    <row r="186" spans="2:19" ht="15" customHeight="1" x14ac:dyDescent="0.25">
      <c r="B186" s="71"/>
      <c r="C186" s="71"/>
      <c r="D186" s="71"/>
      <c r="E186" s="71"/>
      <c r="F186" s="71"/>
      <c r="G186" s="71"/>
      <c r="H186" s="71"/>
      <c r="I186" s="72"/>
      <c r="J186" s="72"/>
      <c r="K186" s="72"/>
      <c r="L186" s="72"/>
      <c r="M186" s="72"/>
      <c r="N186" s="72"/>
      <c r="O186" s="73" t="str">
        <f t="shared" si="6"/>
        <v/>
      </c>
      <c r="P186" s="43" t="str">
        <f t="shared" si="7"/>
        <v/>
      </c>
      <c r="Q186" s="74" t="str">
        <f>IF(C186="","",IFERROR(ROUND(C186/VLOOKUP($D$1,LaborRates!$A:$D,4,0),2),""))</f>
        <v/>
      </c>
      <c r="R186" s="75" t="str">
        <f>IF(C186="","",IFERROR(VLOOKUP($D$1,LaborRates!$A:$D,3,0)-10,""))</f>
        <v/>
      </c>
      <c r="S186" s="43" t="str">
        <f t="shared" si="8"/>
        <v/>
      </c>
    </row>
    <row r="187" spans="2:19" ht="15" customHeight="1" x14ac:dyDescent="0.25">
      <c r="B187" s="71"/>
      <c r="C187" s="71"/>
      <c r="D187" s="71"/>
      <c r="E187" s="71"/>
      <c r="F187" s="71"/>
      <c r="G187" s="71"/>
      <c r="H187" s="71"/>
      <c r="I187" s="72"/>
      <c r="J187" s="72"/>
      <c r="K187" s="72"/>
      <c r="L187" s="72"/>
      <c r="M187" s="72"/>
      <c r="N187" s="72"/>
      <c r="O187" s="73" t="str">
        <f t="shared" si="6"/>
        <v/>
      </c>
      <c r="P187" s="43" t="str">
        <f t="shared" si="7"/>
        <v/>
      </c>
      <c r="Q187" s="74" t="str">
        <f>IF(C187="","",IFERROR(ROUND(C187/VLOOKUP($D$1,LaborRates!$A:$D,4,0),2),""))</f>
        <v/>
      </c>
      <c r="R187" s="75" t="str">
        <f>IF(C187="","",IFERROR(VLOOKUP($D$1,LaborRates!$A:$D,3,0)-10,""))</f>
        <v/>
      </c>
      <c r="S187" s="43" t="str">
        <f t="shared" si="8"/>
        <v/>
      </c>
    </row>
    <row r="188" spans="2:19" ht="15" customHeight="1" x14ac:dyDescent="0.25">
      <c r="B188" s="71"/>
      <c r="C188" s="71"/>
      <c r="D188" s="71"/>
      <c r="E188" s="71"/>
      <c r="F188" s="71"/>
      <c r="G188" s="71"/>
      <c r="H188" s="71"/>
      <c r="I188" s="72"/>
      <c r="J188" s="72"/>
      <c r="K188" s="72"/>
      <c r="L188" s="72"/>
      <c r="M188" s="72"/>
      <c r="N188" s="72"/>
      <c r="O188" s="73" t="str">
        <f t="shared" si="6"/>
        <v/>
      </c>
      <c r="P188" s="43" t="str">
        <f t="shared" si="7"/>
        <v/>
      </c>
      <c r="Q188" s="74" t="str">
        <f>IF(C188="","",IFERROR(ROUND(C188/VLOOKUP($D$1,LaborRates!$A:$D,4,0),2),""))</f>
        <v/>
      </c>
      <c r="R188" s="75" t="str">
        <f>IF(C188="","",IFERROR(VLOOKUP($D$1,LaborRates!$A:$D,3,0)-10,""))</f>
        <v/>
      </c>
      <c r="S188" s="43" t="str">
        <f t="shared" si="8"/>
        <v/>
      </c>
    </row>
    <row r="189" spans="2:19" ht="15" customHeight="1" x14ac:dyDescent="0.25">
      <c r="B189" s="71"/>
      <c r="C189" s="71"/>
      <c r="D189" s="71"/>
      <c r="E189" s="71"/>
      <c r="F189" s="71"/>
      <c r="G189" s="71"/>
      <c r="H189" s="71"/>
      <c r="I189" s="72"/>
      <c r="J189" s="72"/>
      <c r="K189" s="72"/>
      <c r="L189" s="72"/>
      <c r="M189" s="72"/>
      <c r="N189" s="72"/>
      <c r="O189" s="73" t="str">
        <f t="shared" si="6"/>
        <v/>
      </c>
      <c r="P189" s="43" t="str">
        <f t="shared" si="7"/>
        <v/>
      </c>
      <c r="Q189" s="74" t="str">
        <f>IF(C189="","",IFERROR(ROUND(C189/VLOOKUP($D$1,LaborRates!$A:$D,4,0),2),""))</f>
        <v/>
      </c>
      <c r="R189" s="75" t="str">
        <f>IF(C189="","",IFERROR(VLOOKUP($D$1,LaborRates!$A:$D,3,0)-10,""))</f>
        <v/>
      </c>
      <c r="S189" s="43" t="str">
        <f t="shared" si="8"/>
        <v/>
      </c>
    </row>
    <row r="190" spans="2:19" ht="15" customHeight="1" x14ac:dyDescent="0.25">
      <c r="B190" s="71"/>
      <c r="C190" s="71"/>
      <c r="D190" s="71"/>
      <c r="E190" s="71"/>
      <c r="F190" s="71"/>
      <c r="G190" s="71"/>
      <c r="H190" s="71"/>
      <c r="I190" s="72"/>
      <c r="J190" s="72"/>
      <c r="K190" s="72"/>
      <c r="L190" s="72"/>
      <c r="M190" s="72"/>
      <c r="N190" s="72"/>
      <c r="O190" s="73" t="str">
        <f t="shared" si="6"/>
        <v/>
      </c>
      <c r="P190" s="43" t="str">
        <f t="shared" si="7"/>
        <v/>
      </c>
      <c r="Q190" s="74" t="str">
        <f>IF(C190="","",IFERROR(ROUND(C190/VLOOKUP($D$1,LaborRates!$A:$D,4,0),2),""))</f>
        <v/>
      </c>
      <c r="R190" s="75" t="str">
        <f>IF(C190="","",IFERROR(VLOOKUP($D$1,LaborRates!$A:$D,3,0)-10,""))</f>
        <v/>
      </c>
      <c r="S190" s="43" t="str">
        <f t="shared" si="8"/>
        <v/>
      </c>
    </row>
    <row r="191" spans="2:19" ht="15" customHeight="1" x14ac:dyDescent="0.25">
      <c r="B191" s="71"/>
      <c r="C191" s="71"/>
      <c r="D191" s="71"/>
      <c r="E191" s="71"/>
      <c r="F191" s="71"/>
      <c r="G191" s="71"/>
      <c r="H191" s="71"/>
      <c r="I191" s="72"/>
      <c r="J191" s="72"/>
      <c r="K191" s="72"/>
      <c r="L191" s="72"/>
      <c r="M191" s="72"/>
      <c r="N191" s="72"/>
      <c r="O191" s="73" t="str">
        <f t="shared" si="6"/>
        <v/>
      </c>
      <c r="P191" s="43" t="str">
        <f t="shared" si="7"/>
        <v/>
      </c>
      <c r="Q191" s="74" t="str">
        <f>IF(C191="","",IFERROR(ROUND(C191/VLOOKUP($D$1,LaborRates!$A:$D,4,0),2),""))</f>
        <v/>
      </c>
      <c r="R191" s="75" t="str">
        <f>IF(C191="","",IFERROR(VLOOKUP($D$1,LaborRates!$A:$D,3,0)-10,""))</f>
        <v/>
      </c>
      <c r="S191" s="43" t="str">
        <f t="shared" si="8"/>
        <v/>
      </c>
    </row>
    <row r="192" spans="2:19" ht="15" customHeight="1" x14ac:dyDescent="0.25">
      <c r="B192" s="71"/>
      <c r="C192" s="71"/>
      <c r="D192" s="71"/>
      <c r="E192" s="71"/>
      <c r="F192" s="71"/>
      <c r="G192" s="71"/>
      <c r="H192" s="71"/>
      <c r="I192" s="72"/>
      <c r="J192" s="72"/>
      <c r="K192" s="72"/>
      <c r="L192" s="72"/>
      <c r="M192" s="72"/>
      <c r="N192" s="72"/>
      <c r="O192" s="73" t="str">
        <f t="shared" si="6"/>
        <v/>
      </c>
      <c r="P192" s="43" t="str">
        <f t="shared" si="7"/>
        <v/>
      </c>
      <c r="Q192" s="74" t="str">
        <f>IF(C192="","",IFERROR(ROUND(C192/VLOOKUP($D$1,LaborRates!$A:$D,4,0),2),""))</f>
        <v/>
      </c>
      <c r="R192" s="75" t="str">
        <f>IF(C192="","",IFERROR(VLOOKUP($D$1,LaborRates!$A:$D,3,0)-10,""))</f>
        <v/>
      </c>
      <c r="S192" s="43" t="str">
        <f t="shared" si="8"/>
        <v/>
      </c>
    </row>
    <row r="193" spans="2:19" ht="15" customHeight="1" x14ac:dyDescent="0.25">
      <c r="B193" s="71"/>
      <c r="C193" s="71"/>
      <c r="D193" s="71"/>
      <c r="E193" s="71"/>
      <c r="F193" s="71"/>
      <c r="G193" s="71"/>
      <c r="H193" s="71"/>
      <c r="I193" s="72"/>
      <c r="J193" s="72"/>
      <c r="K193" s="72"/>
      <c r="L193" s="72"/>
      <c r="M193" s="72"/>
      <c r="N193" s="72"/>
      <c r="O193" s="73" t="str">
        <f t="shared" si="6"/>
        <v/>
      </c>
      <c r="P193" s="43" t="str">
        <f t="shared" si="7"/>
        <v/>
      </c>
      <c r="Q193" s="74" t="str">
        <f>IF(C193="","",IFERROR(ROUND(C193/VLOOKUP($D$1,LaborRates!$A:$D,4,0),2),""))</f>
        <v/>
      </c>
      <c r="R193" s="75" t="str">
        <f>IF(C193="","",IFERROR(VLOOKUP($D$1,LaborRates!$A:$D,3,0)-10,""))</f>
        <v/>
      </c>
      <c r="S193" s="43" t="str">
        <f t="shared" si="8"/>
        <v/>
      </c>
    </row>
    <row r="194" spans="2:19" ht="15" customHeight="1" x14ac:dyDescent="0.25">
      <c r="B194" s="71"/>
      <c r="C194" s="71"/>
      <c r="D194" s="71"/>
      <c r="E194" s="71"/>
      <c r="F194" s="71"/>
      <c r="G194" s="71"/>
      <c r="H194" s="71"/>
      <c r="I194" s="72"/>
      <c r="J194" s="72"/>
      <c r="K194" s="72"/>
      <c r="L194" s="72"/>
      <c r="M194" s="72"/>
      <c r="N194" s="72"/>
      <c r="O194" s="73" t="str">
        <f t="shared" si="6"/>
        <v/>
      </c>
      <c r="P194" s="43" t="str">
        <f t="shared" si="7"/>
        <v/>
      </c>
      <c r="Q194" s="74" t="str">
        <f>IF(C194="","",IFERROR(ROUND(C194/VLOOKUP($D$1,LaborRates!$A:$D,4,0),2),""))</f>
        <v/>
      </c>
      <c r="R194" s="75" t="str">
        <f>IF(C194="","",IFERROR(VLOOKUP($D$1,LaborRates!$A:$D,3,0)-10,""))</f>
        <v/>
      </c>
      <c r="S194" s="43" t="str">
        <f t="shared" si="8"/>
        <v/>
      </c>
    </row>
    <row r="195" spans="2:19" ht="15" customHeight="1" x14ac:dyDescent="0.25">
      <c r="B195" s="71"/>
      <c r="C195" s="71"/>
      <c r="D195" s="71"/>
      <c r="E195" s="71"/>
      <c r="F195" s="71"/>
      <c r="G195" s="71"/>
      <c r="H195" s="71"/>
      <c r="I195" s="72"/>
      <c r="J195" s="72"/>
      <c r="K195" s="72"/>
      <c r="L195" s="72"/>
      <c r="M195" s="72"/>
      <c r="N195" s="72"/>
      <c r="O195" s="73" t="str">
        <f t="shared" si="6"/>
        <v/>
      </c>
      <c r="P195" s="43" t="str">
        <f t="shared" si="7"/>
        <v/>
      </c>
      <c r="Q195" s="74" t="str">
        <f>IF(C195="","",IFERROR(ROUND(C195/VLOOKUP($D$1,LaborRates!$A:$D,4,0),2),""))</f>
        <v/>
      </c>
      <c r="R195" s="75" t="str">
        <f>IF(C195="","",IFERROR(VLOOKUP($D$1,LaborRates!$A:$D,3,0)-10,""))</f>
        <v/>
      </c>
      <c r="S195" s="43" t="str">
        <f t="shared" si="8"/>
        <v/>
      </c>
    </row>
    <row r="196" spans="2:19" ht="15" customHeight="1" x14ac:dyDescent="0.25">
      <c r="B196" s="71"/>
      <c r="C196" s="71"/>
      <c r="D196" s="71"/>
      <c r="E196" s="71"/>
      <c r="F196" s="71"/>
      <c r="G196" s="71"/>
      <c r="H196" s="71"/>
      <c r="I196" s="72"/>
      <c r="J196" s="72"/>
      <c r="K196" s="72"/>
      <c r="L196" s="72"/>
      <c r="M196" s="72"/>
      <c r="N196" s="72"/>
      <c r="O196" s="73" t="str">
        <f t="shared" si="6"/>
        <v/>
      </c>
      <c r="P196" s="43" t="str">
        <f t="shared" si="7"/>
        <v/>
      </c>
      <c r="Q196" s="74" t="str">
        <f>IF(C196="","",IFERROR(ROUND(C196/VLOOKUP($D$1,LaborRates!$A:$D,4,0),2),""))</f>
        <v/>
      </c>
      <c r="R196" s="75" t="str">
        <f>IF(C196="","",IFERROR(VLOOKUP($D$1,LaborRates!$A:$D,3,0)-10,""))</f>
        <v/>
      </c>
      <c r="S196" s="43" t="str">
        <f t="shared" si="8"/>
        <v/>
      </c>
    </row>
    <row r="197" spans="2:19" ht="15" customHeight="1" x14ac:dyDescent="0.25">
      <c r="B197" s="71"/>
      <c r="C197" s="71"/>
      <c r="D197" s="71"/>
      <c r="E197" s="71"/>
      <c r="F197" s="71"/>
      <c r="G197" s="71"/>
      <c r="H197" s="71"/>
      <c r="I197" s="72"/>
      <c r="J197" s="72"/>
      <c r="K197" s="72"/>
      <c r="L197" s="72"/>
      <c r="M197" s="72"/>
      <c r="N197" s="72"/>
      <c r="O197" s="73" t="str">
        <f t="shared" si="6"/>
        <v/>
      </c>
      <c r="P197" s="43" t="str">
        <f t="shared" si="7"/>
        <v/>
      </c>
      <c r="Q197" s="74" t="str">
        <f>IF(C197="","",IFERROR(ROUND(C197/VLOOKUP($D$1,LaborRates!$A:$D,4,0),2),""))</f>
        <v/>
      </c>
      <c r="R197" s="75" t="str">
        <f>IF(C197="","",IFERROR(VLOOKUP($D$1,LaborRates!$A:$D,3,0)-10,""))</f>
        <v/>
      </c>
      <c r="S197" s="43" t="str">
        <f t="shared" si="8"/>
        <v/>
      </c>
    </row>
    <row r="198" spans="2:19" ht="15" customHeight="1" x14ac:dyDescent="0.25">
      <c r="B198" s="71"/>
      <c r="C198" s="71"/>
      <c r="D198" s="71"/>
      <c r="E198" s="71"/>
      <c r="F198" s="71"/>
      <c r="G198" s="71"/>
      <c r="H198" s="71"/>
      <c r="I198" s="72"/>
      <c r="J198" s="72"/>
      <c r="K198" s="72"/>
      <c r="L198" s="72"/>
      <c r="M198" s="72"/>
      <c r="N198" s="72"/>
      <c r="O198" s="73" t="str">
        <f t="shared" si="6"/>
        <v/>
      </c>
      <c r="P198" s="43" t="str">
        <f t="shared" si="7"/>
        <v/>
      </c>
      <c r="Q198" s="74" t="str">
        <f>IF(C198="","",IFERROR(ROUND(C198/VLOOKUP($D$1,LaborRates!$A:$D,4,0),2),""))</f>
        <v/>
      </c>
      <c r="R198" s="75" t="str">
        <f>IF(C198="","",IFERROR(VLOOKUP($D$1,LaborRates!$A:$D,3,0)-10,""))</f>
        <v/>
      </c>
      <c r="S198" s="43" t="str">
        <f t="shared" si="8"/>
        <v/>
      </c>
    </row>
    <row r="199" spans="2:19" ht="15" customHeight="1" x14ac:dyDescent="0.25">
      <c r="B199" s="71"/>
      <c r="C199" s="71"/>
      <c r="D199" s="71"/>
      <c r="E199" s="71"/>
      <c r="F199" s="71"/>
      <c r="G199" s="71"/>
      <c r="H199" s="71"/>
      <c r="I199" s="72"/>
      <c r="J199" s="72"/>
      <c r="K199" s="72"/>
      <c r="L199" s="72"/>
      <c r="M199" s="72"/>
      <c r="N199" s="72"/>
      <c r="O199" s="73" t="str">
        <f t="shared" si="6"/>
        <v/>
      </c>
      <c r="P199" s="43" t="str">
        <f t="shared" si="7"/>
        <v/>
      </c>
      <c r="Q199" s="74" t="str">
        <f>IF(C199="","",IFERROR(ROUND(C199/VLOOKUP($D$1,LaborRates!$A:$D,4,0),2),""))</f>
        <v/>
      </c>
      <c r="R199" s="75" t="str">
        <f>IF(C199="","",IFERROR(VLOOKUP($D$1,LaborRates!$A:$D,3,0)-10,""))</f>
        <v/>
      </c>
      <c r="S199" s="43" t="str">
        <f t="shared" si="8"/>
        <v/>
      </c>
    </row>
    <row r="200" spans="2:19" ht="15" customHeight="1" x14ac:dyDescent="0.25">
      <c r="B200" s="71"/>
      <c r="C200" s="71"/>
      <c r="D200" s="71"/>
      <c r="E200" s="71"/>
      <c r="F200" s="71"/>
      <c r="G200" s="71"/>
      <c r="H200" s="71"/>
      <c r="I200" s="72"/>
      <c r="J200" s="72"/>
      <c r="K200" s="72"/>
      <c r="L200" s="72"/>
      <c r="M200" s="72"/>
      <c r="N200" s="72"/>
      <c r="O200" s="73" t="str">
        <f t="shared" si="6"/>
        <v/>
      </c>
      <c r="P200" s="43" t="str">
        <f t="shared" si="7"/>
        <v/>
      </c>
      <c r="Q200" s="74" t="str">
        <f>IF(C200="","",IFERROR(ROUND(C200/VLOOKUP($D$1,LaborRates!$A:$D,4,0),2),""))</f>
        <v/>
      </c>
      <c r="R200" s="75" t="str">
        <f>IF(C200="","",IFERROR(VLOOKUP($D$1,LaborRates!$A:$D,3,0)-10,""))</f>
        <v/>
      </c>
      <c r="S200" s="43" t="str">
        <f t="shared" si="8"/>
        <v/>
      </c>
    </row>
    <row r="201" spans="2:19" ht="15" customHeight="1" x14ac:dyDescent="0.25">
      <c r="B201" s="71"/>
      <c r="C201" s="71"/>
      <c r="D201" s="71"/>
      <c r="E201" s="71"/>
      <c r="F201" s="71"/>
      <c r="G201" s="71"/>
      <c r="H201" s="71"/>
      <c r="I201" s="72"/>
      <c r="J201" s="72"/>
      <c r="K201" s="72"/>
      <c r="L201" s="72"/>
      <c r="M201" s="72"/>
      <c r="N201" s="72"/>
      <c r="O201" s="73" t="str">
        <f t="shared" si="6"/>
        <v/>
      </c>
      <c r="P201" s="43" t="str">
        <f t="shared" si="7"/>
        <v/>
      </c>
      <c r="Q201" s="74" t="str">
        <f>IF(C201="","",IFERROR(ROUND(C201/VLOOKUP($D$1,LaborRates!$A:$D,4,0),2),""))</f>
        <v/>
      </c>
      <c r="R201" s="75" t="str">
        <f>IF(C201="","",IFERROR(VLOOKUP($D$1,LaborRates!$A:$D,3,0)-10,""))</f>
        <v/>
      </c>
      <c r="S201" s="43" t="str">
        <f t="shared" si="8"/>
        <v/>
      </c>
    </row>
    <row r="202" spans="2:19" ht="15" customHeight="1" x14ac:dyDescent="0.25">
      <c r="B202" s="71"/>
      <c r="C202" s="71"/>
      <c r="D202" s="71"/>
      <c r="E202" s="71"/>
      <c r="F202" s="71"/>
      <c r="G202" s="71"/>
      <c r="H202" s="71"/>
      <c r="I202" s="72"/>
      <c r="J202" s="72"/>
      <c r="K202" s="72"/>
      <c r="L202" s="72"/>
      <c r="M202" s="72"/>
      <c r="N202" s="72"/>
      <c r="O202" s="73" t="str">
        <f t="shared" si="6"/>
        <v/>
      </c>
      <c r="P202" s="43" t="str">
        <f t="shared" si="7"/>
        <v/>
      </c>
      <c r="Q202" s="74" t="str">
        <f>IF(C202="","",IFERROR(ROUND(C202/VLOOKUP($D$1,LaborRates!$A:$D,4,0),2),""))</f>
        <v/>
      </c>
      <c r="R202" s="75" t="str">
        <f>IF(C202="","",IFERROR(VLOOKUP($D$1,LaborRates!$A:$D,3,0)-10,""))</f>
        <v/>
      </c>
      <c r="S202" s="43" t="str">
        <f t="shared" si="8"/>
        <v/>
      </c>
    </row>
    <row r="203" spans="2:19" ht="15" customHeight="1" x14ac:dyDescent="0.25">
      <c r="B203" s="71"/>
      <c r="C203" s="71"/>
      <c r="D203" s="71"/>
      <c r="E203" s="71"/>
      <c r="F203" s="71"/>
      <c r="G203" s="71"/>
      <c r="H203" s="71"/>
      <c r="I203" s="72"/>
      <c r="J203" s="72"/>
      <c r="K203" s="72"/>
      <c r="L203" s="72"/>
      <c r="M203" s="72"/>
      <c r="N203" s="72"/>
      <c r="O203" s="73" t="str">
        <f t="shared" si="6"/>
        <v/>
      </c>
      <c r="P203" s="43" t="str">
        <f t="shared" si="7"/>
        <v/>
      </c>
      <c r="Q203" s="74" t="str">
        <f>IF(C203="","",IFERROR(ROUND(C203/VLOOKUP($D$1,LaborRates!$A:$D,4,0),2),""))</f>
        <v/>
      </c>
      <c r="R203" s="75" t="str">
        <f>IF(C203="","",IFERROR(VLOOKUP($D$1,LaborRates!$A:$D,3,0)-10,""))</f>
        <v/>
      </c>
      <c r="S203" s="43" t="str">
        <f t="shared" si="8"/>
        <v/>
      </c>
    </row>
    <row r="204" spans="2:19" ht="15" customHeight="1" x14ac:dyDescent="0.25">
      <c r="B204" s="71"/>
      <c r="C204" s="71"/>
      <c r="D204" s="71"/>
      <c r="E204" s="71"/>
      <c r="F204" s="71"/>
      <c r="G204" s="71"/>
      <c r="H204" s="71"/>
      <c r="I204" s="72"/>
      <c r="J204" s="72"/>
      <c r="K204" s="72"/>
      <c r="L204" s="72"/>
      <c r="M204" s="72"/>
      <c r="N204" s="72"/>
      <c r="O204" s="73" t="str">
        <f t="shared" si="6"/>
        <v/>
      </c>
      <c r="P204" s="43" t="str">
        <f t="shared" si="7"/>
        <v/>
      </c>
      <c r="Q204" s="74" t="str">
        <f>IF(C204="","",IFERROR(ROUND(C204/VLOOKUP($D$1,LaborRates!$A:$D,4,0),2),""))</f>
        <v/>
      </c>
      <c r="R204" s="75" t="str">
        <f>IF(C204="","",IFERROR(VLOOKUP($D$1,LaborRates!$A:$D,3,0)-10,""))</f>
        <v/>
      </c>
      <c r="S204" s="43" t="str">
        <f t="shared" si="8"/>
        <v/>
      </c>
    </row>
    <row r="205" spans="2:19" ht="15" customHeight="1" x14ac:dyDescent="0.25">
      <c r="B205" s="71"/>
      <c r="C205" s="71"/>
      <c r="D205" s="71"/>
      <c r="E205" s="71"/>
      <c r="F205" s="71"/>
      <c r="G205" s="71"/>
      <c r="H205" s="71"/>
      <c r="I205" s="72"/>
      <c r="J205" s="72"/>
      <c r="K205" s="72"/>
      <c r="L205" s="72"/>
      <c r="M205" s="72"/>
      <c r="N205" s="72"/>
      <c r="O205" s="73" t="str">
        <f t="shared" si="6"/>
        <v/>
      </c>
      <c r="P205" s="43" t="str">
        <f t="shared" si="7"/>
        <v/>
      </c>
      <c r="Q205" s="74" t="str">
        <f>IF(C205="","",IFERROR(ROUND(C205/VLOOKUP($D$1,LaborRates!$A:$D,4,0),2),""))</f>
        <v/>
      </c>
      <c r="R205" s="75" t="str">
        <f>IF(C205="","",IFERROR(VLOOKUP($D$1,LaborRates!$A:$D,3,0)-10,""))</f>
        <v/>
      </c>
      <c r="S205" s="43" t="str">
        <f t="shared" si="8"/>
        <v/>
      </c>
    </row>
    <row r="206" spans="2:19" ht="15" customHeight="1" x14ac:dyDescent="0.25">
      <c r="B206" s="71"/>
      <c r="C206" s="71"/>
      <c r="D206" s="71"/>
      <c r="E206" s="71"/>
      <c r="F206" s="71"/>
      <c r="G206" s="71"/>
      <c r="H206" s="71"/>
      <c r="I206" s="72"/>
      <c r="J206" s="72"/>
      <c r="K206" s="72"/>
      <c r="L206" s="72"/>
      <c r="M206" s="72"/>
      <c r="N206" s="72"/>
      <c r="O206" s="73" t="str">
        <f t="shared" si="6"/>
        <v/>
      </c>
      <c r="P206" s="43" t="str">
        <f t="shared" si="7"/>
        <v/>
      </c>
      <c r="Q206" s="74" t="str">
        <f>IF(C206="","",IFERROR(ROUND(C206/VLOOKUP($D$1,LaborRates!$A:$D,4,0),2),""))</f>
        <v/>
      </c>
      <c r="R206" s="75" t="str">
        <f>IF(C206="","",IFERROR(VLOOKUP($D$1,LaborRates!$A:$D,3,0)-10,""))</f>
        <v/>
      </c>
      <c r="S206" s="43" t="str">
        <f t="shared" si="8"/>
        <v/>
      </c>
    </row>
    <row r="207" spans="2:19" ht="15" customHeight="1" x14ac:dyDescent="0.25">
      <c r="B207" s="71"/>
      <c r="C207" s="71"/>
      <c r="D207" s="71"/>
      <c r="E207" s="71"/>
      <c r="F207" s="71"/>
      <c r="G207" s="71"/>
      <c r="H207" s="71"/>
      <c r="I207" s="72"/>
      <c r="J207" s="72"/>
      <c r="K207" s="72"/>
      <c r="L207" s="72"/>
      <c r="M207" s="72"/>
      <c r="N207" s="72"/>
      <c r="O207" s="73" t="str">
        <f t="shared" ref="O207:O270" si="9">IF(B207&lt;&gt;"",$P$9,"")</f>
        <v/>
      </c>
      <c r="P207" s="43" t="str">
        <f t="shared" ref="P207:P270" si="10">IF(B207&lt;&gt;"",ROUND(B207*(1+O207),2),"")</f>
        <v/>
      </c>
      <c r="Q207" s="74" t="str">
        <f>IF(C207="","",IFERROR(ROUND(C207/VLOOKUP($D$1,LaborRates!$A:$D,4,0),2),""))</f>
        <v/>
      </c>
      <c r="R207" s="75" t="str">
        <f>IF(C207="","",IFERROR(VLOOKUP($D$1,LaborRates!$A:$D,3,0)-10,""))</f>
        <v/>
      </c>
      <c r="S207" s="43" t="str">
        <f t="shared" ref="S207:S270" si="11">IF(OR(Q207="",R207=""),"",ROUND(Q207*R207,2))</f>
        <v/>
      </c>
    </row>
    <row r="208" spans="2:19" ht="15" customHeight="1" x14ac:dyDescent="0.25">
      <c r="B208" s="71"/>
      <c r="C208" s="71"/>
      <c r="D208" s="71"/>
      <c r="E208" s="71"/>
      <c r="F208" s="71"/>
      <c r="G208" s="71"/>
      <c r="H208" s="71"/>
      <c r="I208" s="72"/>
      <c r="J208" s="72"/>
      <c r="K208" s="72"/>
      <c r="L208" s="72"/>
      <c r="M208" s="72"/>
      <c r="N208" s="72"/>
      <c r="O208" s="73" t="str">
        <f t="shared" si="9"/>
        <v/>
      </c>
      <c r="P208" s="43" t="str">
        <f t="shared" si="10"/>
        <v/>
      </c>
      <c r="Q208" s="74" t="str">
        <f>IF(C208="","",IFERROR(ROUND(C208/VLOOKUP($D$1,LaborRates!$A:$D,4,0),2),""))</f>
        <v/>
      </c>
      <c r="R208" s="75" t="str">
        <f>IF(C208="","",IFERROR(VLOOKUP($D$1,LaborRates!$A:$D,3,0)-10,""))</f>
        <v/>
      </c>
      <c r="S208" s="43" t="str">
        <f t="shared" si="11"/>
        <v/>
      </c>
    </row>
    <row r="209" spans="2:19" ht="15" customHeight="1" x14ac:dyDescent="0.25">
      <c r="B209" s="71"/>
      <c r="C209" s="71"/>
      <c r="D209" s="71"/>
      <c r="E209" s="71"/>
      <c r="F209" s="71"/>
      <c r="G209" s="71"/>
      <c r="H209" s="71"/>
      <c r="I209" s="72"/>
      <c r="J209" s="72"/>
      <c r="K209" s="72"/>
      <c r="L209" s="72"/>
      <c r="M209" s="72"/>
      <c r="N209" s="72"/>
      <c r="O209" s="73" t="str">
        <f t="shared" si="9"/>
        <v/>
      </c>
      <c r="P209" s="43" t="str">
        <f t="shared" si="10"/>
        <v/>
      </c>
      <c r="Q209" s="74" t="str">
        <f>IF(C209="","",IFERROR(ROUND(C209/VLOOKUP($D$1,LaborRates!$A:$D,4,0),2),""))</f>
        <v/>
      </c>
      <c r="R209" s="75" t="str">
        <f>IF(C209="","",IFERROR(VLOOKUP($D$1,LaborRates!$A:$D,3,0)-10,""))</f>
        <v/>
      </c>
      <c r="S209" s="43" t="str">
        <f t="shared" si="11"/>
        <v/>
      </c>
    </row>
    <row r="210" spans="2:19" ht="15" customHeight="1" x14ac:dyDescent="0.25">
      <c r="B210" s="71"/>
      <c r="C210" s="71"/>
      <c r="D210" s="71"/>
      <c r="E210" s="71"/>
      <c r="F210" s="71"/>
      <c r="G210" s="71"/>
      <c r="H210" s="71"/>
      <c r="I210" s="72"/>
      <c r="J210" s="72"/>
      <c r="K210" s="72"/>
      <c r="L210" s="72"/>
      <c r="M210" s="72"/>
      <c r="N210" s="72"/>
      <c r="O210" s="73" t="str">
        <f t="shared" si="9"/>
        <v/>
      </c>
      <c r="P210" s="43" t="str">
        <f t="shared" si="10"/>
        <v/>
      </c>
      <c r="Q210" s="74" t="str">
        <f>IF(C210="","",IFERROR(ROUND(C210/VLOOKUP($D$1,LaborRates!$A:$D,4,0),2),""))</f>
        <v/>
      </c>
      <c r="R210" s="75" t="str">
        <f>IF(C210="","",IFERROR(VLOOKUP($D$1,LaborRates!$A:$D,3,0)-10,""))</f>
        <v/>
      </c>
      <c r="S210" s="43" t="str">
        <f t="shared" si="11"/>
        <v/>
      </c>
    </row>
    <row r="211" spans="2:19" ht="15" customHeight="1" x14ac:dyDescent="0.25">
      <c r="B211" s="71"/>
      <c r="C211" s="71"/>
      <c r="D211" s="71"/>
      <c r="E211" s="71"/>
      <c r="F211" s="71"/>
      <c r="G211" s="71"/>
      <c r="H211" s="71"/>
      <c r="I211" s="72"/>
      <c r="J211" s="72"/>
      <c r="K211" s="72"/>
      <c r="L211" s="72"/>
      <c r="M211" s="72"/>
      <c r="N211" s="72"/>
      <c r="O211" s="73" t="str">
        <f t="shared" si="9"/>
        <v/>
      </c>
      <c r="P211" s="43" t="str">
        <f t="shared" si="10"/>
        <v/>
      </c>
      <c r="Q211" s="74" t="str">
        <f>IF(C211="","",IFERROR(ROUND(C211/VLOOKUP($D$1,LaborRates!$A:$D,4,0),2),""))</f>
        <v/>
      </c>
      <c r="R211" s="75" t="str">
        <f>IF(C211="","",IFERROR(VLOOKUP($D$1,LaborRates!$A:$D,3,0)-10,""))</f>
        <v/>
      </c>
      <c r="S211" s="43" t="str">
        <f t="shared" si="11"/>
        <v/>
      </c>
    </row>
    <row r="212" spans="2:19" ht="15" customHeight="1" x14ac:dyDescent="0.25">
      <c r="B212" s="71"/>
      <c r="C212" s="71"/>
      <c r="D212" s="71"/>
      <c r="E212" s="71"/>
      <c r="F212" s="71"/>
      <c r="G212" s="71"/>
      <c r="H212" s="71"/>
      <c r="I212" s="72"/>
      <c r="J212" s="72"/>
      <c r="K212" s="72"/>
      <c r="L212" s="72"/>
      <c r="M212" s="72"/>
      <c r="N212" s="72"/>
      <c r="O212" s="73" t="str">
        <f t="shared" si="9"/>
        <v/>
      </c>
      <c r="P212" s="43" t="str">
        <f t="shared" si="10"/>
        <v/>
      </c>
      <c r="Q212" s="74" t="str">
        <f>IF(C212="","",IFERROR(ROUND(C212/VLOOKUP($D$1,LaborRates!$A:$D,4,0),2),""))</f>
        <v/>
      </c>
      <c r="R212" s="75" t="str">
        <f>IF(C212="","",IFERROR(VLOOKUP($D$1,LaborRates!$A:$D,3,0)-10,""))</f>
        <v/>
      </c>
      <c r="S212" s="43" t="str">
        <f t="shared" si="11"/>
        <v/>
      </c>
    </row>
    <row r="213" spans="2:19" ht="15" customHeight="1" x14ac:dyDescent="0.25">
      <c r="B213" s="71"/>
      <c r="C213" s="71"/>
      <c r="D213" s="71"/>
      <c r="E213" s="71"/>
      <c r="F213" s="71"/>
      <c r="G213" s="71"/>
      <c r="H213" s="71"/>
      <c r="I213" s="72"/>
      <c r="J213" s="72"/>
      <c r="K213" s="72"/>
      <c r="L213" s="72"/>
      <c r="M213" s="72"/>
      <c r="N213" s="72"/>
      <c r="O213" s="73" t="str">
        <f t="shared" si="9"/>
        <v/>
      </c>
      <c r="P213" s="43" t="str">
        <f t="shared" si="10"/>
        <v/>
      </c>
      <c r="Q213" s="74" t="str">
        <f>IF(C213="","",IFERROR(ROUND(C213/VLOOKUP($D$1,LaborRates!$A:$D,4,0),2),""))</f>
        <v/>
      </c>
      <c r="R213" s="75" t="str">
        <f>IF(C213="","",IFERROR(VLOOKUP($D$1,LaborRates!$A:$D,3,0)-10,""))</f>
        <v/>
      </c>
      <c r="S213" s="43" t="str">
        <f t="shared" si="11"/>
        <v/>
      </c>
    </row>
    <row r="214" spans="2:19" ht="15" customHeight="1" x14ac:dyDescent="0.25">
      <c r="B214" s="71"/>
      <c r="C214" s="71"/>
      <c r="D214" s="71"/>
      <c r="E214" s="71"/>
      <c r="F214" s="71"/>
      <c r="G214" s="71"/>
      <c r="H214" s="71"/>
      <c r="I214" s="72"/>
      <c r="J214" s="72"/>
      <c r="K214" s="72"/>
      <c r="L214" s="72"/>
      <c r="M214" s="72"/>
      <c r="N214" s="72"/>
      <c r="O214" s="73" t="str">
        <f t="shared" si="9"/>
        <v/>
      </c>
      <c r="P214" s="43" t="str">
        <f t="shared" si="10"/>
        <v/>
      </c>
      <c r="Q214" s="74" t="str">
        <f>IF(C214="","",IFERROR(ROUND(C214/VLOOKUP($D$1,LaborRates!$A:$D,4,0),2),""))</f>
        <v/>
      </c>
      <c r="R214" s="75" t="str">
        <f>IF(C214="","",IFERROR(VLOOKUP($D$1,LaborRates!$A:$D,3,0)-10,""))</f>
        <v/>
      </c>
      <c r="S214" s="43" t="str">
        <f t="shared" si="11"/>
        <v/>
      </c>
    </row>
    <row r="215" spans="2:19" ht="15" customHeight="1" x14ac:dyDescent="0.25">
      <c r="B215" s="71"/>
      <c r="C215" s="71"/>
      <c r="D215" s="71"/>
      <c r="E215" s="71"/>
      <c r="F215" s="71"/>
      <c r="G215" s="71"/>
      <c r="H215" s="71"/>
      <c r="I215" s="72"/>
      <c r="J215" s="72"/>
      <c r="K215" s="72"/>
      <c r="L215" s="72"/>
      <c r="M215" s="72"/>
      <c r="N215" s="72"/>
      <c r="O215" s="73" t="str">
        <f t="shared" si="9"/>
        <v/>
      </c>
      <c r="P215" s="43" t="str">
        <f t="shared" si="10"/>
        <v/>
      </c>
      <c r="Q215" s="74" t="str">
        <f>IF(C215="","",IFERROR(ROUND(C215/VLOOKUP($D$1,LaborRates!$A:$D,4,0),2),""))</f>
        <v/>
      </c>
      <c r="R215" s="75" t="str">
        <f>IF(C215="","",IFERROR(VLOOKUP($D$1,LaborRates!$A:$D,3,0)-10,""))</f>
        <v/>
      </c>
      <c r="S215" s="43" t="str">
        <f t="shared" si="11"/>
        <v/>
      </c>
    </row>
    <row r="216" spans="2:19" ht="15" customHeight="1" x14ac:dyDescent="0.25">
      <c r="B216" s="71"/>
      <c r="C216" s="71"/>
      <c r="D216" s="71"/>
      <c r="E216" s="71"/>
      <c r="F216" s="71"/>
      <c r="G216" s="71"/>
      <c r="H216" s="71"/>
      <c r="I216" s="72"/>
      <c r="J216" s="72"/>
      <c r="K216" s="72"/>
      <c r="L216" s="72"/>
      <c r="M216" s="72"/>
      <c r="N216" s="72"/>
      <c r="O216" s="73" t="str">
        <f t="shared" si="9"/>
        <v/>
      </c>
      <c r="P216" s="43" t="str">
        <f t="shared" si="10"/>
        <v/>
      </c>
      <c r="Q216" s="74" t="str">
        <f>IF(C216="","",IFERROR(ROUND(C216/VLOOKUP($D$1,LaborRates!$A:$D,4,0),2),""))</f>
        <v/>
      </c>
      <c r="R216" s="75" t="str">
        <f>IF(C216="","",IFERROR(VLOOKUP($D$1,LaborRates!$A:$D,3,0)-10,""))</f>
        <v/>
      </c>
      <c r="S216" s="43" t="str">
        <f t="shared" si="11"/>
        <v/>
      </c>
    </row>
    <row r="217" spans="2:19" ht="15" customHeight="1" x14ac:dyDescent="0.25">
      <c r="B217" s="71"/>
      <c r="C217" s="71"/>
      <c r="D217" s="71"/>
      <c r="E217" s="71"/>
      <c r="F217" s="71"/>
      <c r="G217" s="71"/>
      <c r="H217" s="71"/>
      <c r="I217" s="72"/>
      <c r="J217" s="72"/>
      <c r="K217" s="72"/>
      <c r="L217" s="72"/>
      <c r="M217" s="72"/>
      <c r="N217" s="72"/>
      <c r="O217" s="73" t="str">
        <f t="shared" si="9"/>
        <v/>
      </c>
      <c r="P217" s="43" t="str">
        <f t="shared" si="10"/>
        <v/>
      </c>
      <c r="Q217" s="74" t="str">
        <f>IF(C217="","",IFERROR(ROUND(C217/VLOOKUP($D$1,LaborRates!$A:$D,4,0),2),""))</f>
        <v/>
      </c>
      <c r="R217" s="75" t="str">
        <f>IF(C217="","",IFERROR(VLOOKUP($D$1,LaborRates!$A:$D,3,0)-10,""))</f>
        <v/>
      </c>
      <c r="S217" s="43" t="str">
        <f t="shared" si="11"/>
        <v/>
      </c>
    </row>
    <row r="218" spans="2:19" ht="15" customHeight="1" x14ac:dyDescent="0.25">
      <c r="B218" s="71"/>
      <c r="C218" s="71"/>
      <c r="D218" s="71"/>
      <c r="E218" s="71"/>
      <c r="F218" s="71"/>
      <c r="G218" s="71"/>
      <c r="H218" s="71"/>
      <c r="I218" s="72"/>
      <c r="J218" s="72"/>
      <c r="K218" s="72"/>
      <c r="L218" s="72"/>
      <c r="M218" s="72"/>
      <c r="N218" s="72"/>
      <c r="O218" s="73" t="str">
        <f t="shared" si="9"/>
        <v/>
      </c>
      <c r="P218" s="43" t="str">
        <f t="shared" si="10"/>
        <v/>
      </c>
      <c r="Q218" s="74" t="str">
        <f>IF(C218="","",IFERROR(ROUND(C218/VLOOKUP($D$1,LaborRates!$A:$D,4,0),2),""))</f>
        <v/>
      </c>
      <c r="R218" s="75" t="str">
        <f>IF(C218="","",IFERROR(VLOOKUP($D$1,LaborRates!$A:$D,3,0)-10,""))</f>
        <v/>
      </c>
      <c r="S218" s="43" t="str">
        <f t="shared" si="11"/>
        <v/>
      </c>
    </row>
    <row r="219" spans="2:19" ht="15" customHeight="1" x14ac:dyDescent="0.25">
      <c r="B219" s="71"/>
      <c r="C219" s="71"/>
      <c r="D219" s="71"/>
      <c r="E219" s="71"/>
      <c r="F219" s="71"/>
      <c r="G219" s="71"/>
      <c r="H219" s="71"/>
      <c r="I219" s="72"/>
      <c r="J219" s="72"/>
      <c r="K219" s="72"/>
      <c r="L219" s="72"/>
      <c r="M219" s="72"/>
      <c r="N219" s="72"/>
      <c r="O219" s="73" t="str">
        <f t="shared" si="9"/>
        <v/>
      </c>
      <c r="P219" s="43" t="str">
        <f t="shared" si="10"/>
        <v/>
      </c>
      <c r="Q219" s="74" t="str">
        <f>IF(C219="","",IFERROR(ROUND(C219/VLOOKUP($D$1,LaborRates!$A:$D,4,0),2),""))</f>
        <v/>
      </c>
      <c r="R219" s="75" t="str">
        <f>IF(C219="","",IFERROR(VLOOKUP($D$1,LaborRates!$A:$D,3,0)-10,""))</f>
        <v/>
      </c>
      <c r="S219" s="43" t="str">
        <f t="shared" si="11"/>
        <v/>
      </c>
    </row>
    <row r="220" spans="2:19" ht="15" customHeight="1" x14ac:dyDescent="0.25">
      <c r="B220" s="71"/>
      <c r="C220" s="71"/>
      <c r="D220" s="71"/>
      <c r="E220" s="71"/>
      <c r="F220" s="71"/>
      <c r="G220" s="71"/>
      <c r="H220" s="71"/>
      <c r="I220" s="72"/>
      <c r="J220" s="72"/>
      <c r="K220" s="72"/>
      <c r="L220" s="72"/>
      <c r="M220" s="72"/>
      <c r="N220" s="72"/>
      <c r="O220" s="73" t="str">
        <f t="shared" si="9"/>
        <v/>
      </c>
      <c r="P220" s="43" t="str">
        <f t="shared" si="10"/>
        <v/>
      </c>
      <c r="Q220" s="74" t="str">
        <f>IF(C220="","",IFERROR(ROUND(C220/VLOOKUP($D$1,LaborRates!$A:$D,4,0),2),""))</f>
        <v/>
      </c>
      <c r="R220" s="75" t="str">
        <f>IF(C220="","",IFERROR(VLOOKUP($D$1,LaborRates!$A:$D,3,0)-10,""))</f>
        <v/>
      </c>
      <c r="S220" s="43" t="str">
        <f t="shared" si="11"/>
        <v/>
      </c>
    </row>
    <row r="221" spans="2:19" ht="15" customHeight="1" x14ac:dyDescent="0.25">
      <c r="B221" s="71"/>
      <c r="C221" s="71"/>
      <c r="D221" s="71"/>
      <c r="E221" s="71"/>
      <c r="F221" s="71"/>
      <c r="G221" s="71"/>
      <c r="H221" s="71"/>
      <c r="I221" s="72"/>
      <c r="J221" s="72"/>
      <c r="K221" s="72"/>
      <c r="L221" s="72"/>
      <c r="M221" s="72"/>
      <c r="N221" s="72"/>
      <c r="O221" s="73" t="str">
        <f t="shared" si="9"/>
        <v/>
      </c>
      <c r="P221" s="43" t="str">
        <f t="shared" si="10"/>
        <v/>
      </c>
      <c r="Q221" s="74" t="str">
        <f>IF(C221="","",IFERROR(ROUND(C221/VLOOKUP($D$1,LaborRates!$A:$D,4,0),2),""))</f>
        <v/>
      </c>
      <c r="R221" s="75" t="str">
        <f>IF(C221="","",IFERROR(VLOOKUP($D$1,LaborRates!$A:$D,3,0)-10,""))</f>
        <v/>
      </c>
      <c r="S221" s="43" t="str">
        <f t="shared" si="11"/>
        <v/>
      </c>
    </row>
    <row r="222" spans="2:19" ht="15" customHeight="1" x14ac:dyDescent="0.25">
      <c r="B222" s="71"/>
      <c r="C222" s="71"/>
      <c r="D222" s="71"/>
      <c r="E222" s="71"/>
      <c r="F222" s="71"/>
      <c r="G222" s="71"/>
      <c r="H222" s="71"/>
      <c r="I222" s="72"/>
      <c r="J222" s="72"/>
      <c r="K222" s="72"/>
      <c r="L222" s="72"/>
      <c r="M222" s="72"/>
      <c r="N222" s="72"/>
      <c r="O222" s="73" t="str">
        <f t="shared" si="9"/>
        <v/>
      </c>
      <c r="P222" s="43" t="str">
        <f t="shared" si="10"/>
        <v/>
      </c>
      <c r="Q222" s="74" t="str">
        <f>IF(C222="","",IFERROR(ROUND(C222/VLOOKUP($D$1,LaborRates!$A:$D,4,0),2),""))</f>
        <v/>
      </c>
      <c r="R222" s="75" t="str">
        <f>IF(C222="","",IFERROR(VLOOKUP($D$1,LaborRates!$A:$D,3,0)-10,""))</f>
        <v/>
      </c>
      <c r="S222" s="43" t="str">
        <f t="shared" si="11"/>
        <v/>
      </c>
    </row>
    <row r="223" spans="2:19" ht="15" customHeight="1" x14ac:dyDescent="0.25">
      <c r="B223" s="71"/>
      <c r="C223" s="71"/>
      <c r="D223" s="71"/>
      <c r="E223" s="71"/>
      <c r="F223" s="71"/>
      <c r="G223" s="71"/>
      <c r="H223" s="71"/>
      <c r="I223" s="72"/>
      <c r="J223" s="72"/>
      <c r="K223" s="72"/>
      <c r="L223" s="72"/>
      <c r="M223" s="72"/>
      <c r="N223" s="72"/>
      <c r="O223" s="73" t="str">
        <f t="shared" si="9"/>
        <v/>
      </c>
      <c r="P223" s="43" t="str">
        <f t="shared" si="10"/>
        <v/>
      </c>
      <c r="Q223" s="74" t="str">
        <f>IF(C223="","",IFERROR(ROUND(C223/VLOOKUP($D$1,LaborRates!$A:$D,4,0),2),""))</f>
        <v/>
      </c>
      <c r="R223" s="75" t="str">
        <f>IF(C223="","",IFERROR(VLOOKUP($D$1,LaborRates!$A:$D,3,0)-10,""))</f>
        <v/>
      </c>
      <c r="S223" s="43" t="str">
        <f t="shared" si="11"/>
        <v/>
      </c>
    </row>
    <row r="224" spans="2:19" ht="15" customHeight="1" x14ac:dyDescent="0.25">
      <c r="B224" s="71"/>
      <c r="C224" s="71"/>
      <c r="D224" s="71"/>
      <c r="E224" s="71"/>
      <c r="F224" s="71"/>
      <c r="G224" s="71"/>
      <c r="H224" s="71"/>
      <c r="I224" s="72"/>
      <c r="J224" s="72"/>
      <c r="K224" s="72"/>
      <c r="L224" s="72"/>
      <c r="M224" s="72"/>
      <c r="N224" s="72"/>
      <c r="O224" s="73" t="str">
        <f t="shared" si="9"/>
        <v/>
      </c>
      <c r="P224" s="43" t="str">
        <f t="shared" si="10"/>
        <v/>
      </c>
      <c r="Q224" s="74" t="str">
        <f>IF(C224="","",IFERROR(ROUND(C224/VLOOKUP($D$1,LaborRates!$A:$D,4,0),2),""))</f>
        <v/>
      </c>
      <c r="R224" s="75" t="str">
        <f>IF(C224="","",IFERROR(VLOOKUP($D$1,LaborRates!$A:$D,3,0)-10,""))</f>
        <v/>
      </c>
      <c r="S224" s="43" t="str">
        <f t="shared" si="11"/>
        <v/>
      </c>
    </row>
    <row r="225" spans="2:19" ht="15" customHeight="1" x14ac:dyDescent="0.25">
      <c r="B225" s="71"/>
      <c r="C225" s="71"/>
      <c r="D225" s="71"/>
      <c r="E225" s="71"/>
      <c r="F225" s="71"/>
      <c r="G225" s="71"/>
      <c r="H225" s="71"/>
      <c r="I225" s="72"/>
      <c r="J225" s="72"/>
      <c r="K225" s="72"/>
      <c r="L225" s="72"/>
      <c r="M225" s="72"/>
      <c r="N225" s="72"/>
      <c r="O225" s="73" t="str">
        <f t="shared" si="9"/>
        <v/>
      </c>
      <c r="P225" s="43" t="str">
        <f t="shared" si="10"/>
        <v/>
      </c>
      <c r="Q225" s="74" t="str">
        <f>IF(C225="","",IFERROR(ROUND(C225/VLOOKUP($D$1,LaborRates!$A:$D,4,0),2),""))</f>
        <v/>
      </c>
      <c r="R225" s="75" t="str">
        <f>IF(C225="","",IFERROR(VLOOKUP($D$1,LaborRates!$A:$D,3,0)-10,""))</f>
        <v/>
      </c>
      <c r="S225" s="43" t="str">
        <f t="shared" si="11"/>
        <v/>
      </c>
    </row>
    <row r="226" spans="2:19" ht="15" customHeight="1" x14ac:dyDescent="0.25">
      <c r="B226" s="71"/>
      <c r="C226" s="71"/>
      <c r="D226" s="71"/>
      <c r="E226" s="71"/>
      <c r="F226" s="71"/>
      <c r="G226" s="71"/>
      <c r="H226" s="71"/>
      <c r="I226" s="72"/>
      <c r="J226" s="72"/>
      <c r="K226" s="72"/>
      <c r="L226" s="72"/>
      <c r="M226" s="72"/>
      <c r="N226" s="72"/>
      <c r="O226" s="73" t="str">
        <f t="shared" si="9"/>
        <v/>
      </c>
      <c r="P226" s="43" t="str">
        <f t="shared" si="10"/>
        <v/>
      </c>
      <c r="Q226" s="74" t="str">
        <f>IF(C226="","",IFERROR(ROUND(C226/VLOOKUP($D$1,LaborRates!$A:$D,4,0),2),""))</f>
        <v/>
      </c>
      <c r="R226" s="75" t="str">
        <f>IF(C226="","",IFERROR(VLOOKUP($D$1,LaborRates!$A:$D,3,0)-10,""))</f>
        <v/>
      </c>
      <c r="S226" s="43" t="str">
        <f t="shared" si="11"/>
        <v/>
      </c>
    </row>
    <row r="227" spans="2:19" ht="15" customHeight="1" x14ac:dyDescent="0.25">
      <c r="B227" s="71"/>
      <c r="C227" s="71"/>
      <c r="D227" s="71"/>
      <c r="E227" s="71"/>
      <c r="F227" s="71"/>
      <c r="G227" s="71"/>
      <c r="H227" s="71"/>
      <c r="I227" s="72"/>
      <c r="J227" s="72"/>
      <c r="K227" s="72"/>
      <c r="L227" s="72"/>
      <c r="M227" s="72"/>
      <c r="N227" s="72"/>
      <c r="O227" s="73" t="str">
        <f t="shared" si="9"/>
        <v/>
      </c>
      <c r="P227" s="43" t="str">
        <f t="shared" si="10"/>
        <v/>
      </c>
      <c r="Q227" s="74" t="str">
        <f>IF(C227="","",IFERROR(ROUND(C227/VLOOKUP($D$1,LaborRates!$A:$D,4,0),2),""))</f>
        <v/>
      </c>
      <c r="R227" s="75" t="str">
        <f>IF(C227="","",IFERROR(VLOOKUP($D$1,LaborRates!$A:$D,3,0)-10,""))</f>
        <v/>
      </c>
      <c r="S227" s="43" t="str">
        <f t="shared" si="11"/>
        <v/>
      </c>
    </row>
    <row r="228" spans="2:19" ht="15" customHeight="1" x14ac:dyDescent="0.25">
      <c r="B228" s="71"/>
      <c r="C228" s="71"/>
      <c r="D228" s="71"/>
      <c r="E228" s="71"/>
      <c r="F228" s="71"/>
      <c r="G228" s="71"/>
      <c r="H228" s="71"/>
      <c r="I228" s="72"/>
      <c r="J228" s="72"/>
      <c r="K228" s="72"/>
      <c r="L228" s="72"/>
      <c r="M228" s="72"/>
      <c r="N228" s="72"/>
      <c r="O228" s="73" t="str">
        <f t="shared" si="9"/>
        <v/>
      </c>
      <c r="P228" s="43" t="str">
        <f t="shared" si="10"/>
        <v/>
      </c>
      <c r="Q228" s="74" t="str">
        <f>IF(C228="","",IFERROR(ROUND(C228/VLOOKUP($D$1,LaborRates!$A:$D,4,0),2),""))</f>
        <v/>
      </c>
      <c r="R228" s="75" t="str">
        <f>IF(C228="","",IFERROR(VLOOKUP($D$1,LaborRates!$A:$D,3,0)-10,""))</f>
        <v/>
      </c>
      <c r="S228" s="43" t="str">
        <f t="shared" si="11"/>
        <v/>
      </c>
    </row>
    <row r="229" spans="2:19" ht="15" customHeight="1" x14ac:dyDescent="0.25">
      <c r="B229" s="71"/>
      <c r="C229" s="71"/>
      <c r="D229" s="71"/>
      <c r="E229" s="71"/>
      <c r="F229" s="71"/>
      <c r="G229" s="71"/>
      <c r="H229" s="71"/>
      <c r="I229" s="72"/>
      <c r="J229" s="72"/>
      <c r="K229" s="72"/>
      <c r="L229" s="72"/>
      <c r="M229" s="72"/>
      <c r="N229" s="72"/>
      <c r="O229" s="73" t="str">
        <f t="shared" si="9"/>
        <v/>
      </c>
      <c r="P229" s="43" t="str">
        <f t="shared" si="10"/>
        <v/>
      </c>
      <c r="Q229" s="74" t="str">
        <f>IF(C229="","",IFERROR(ROUND(C229/VLOOKUP($D$1,LaborRates!$A:$D,4,0),2),""))</f>
        <v/>
      </c>
      <c r="R229" s="75" t="str">
        <f>IF(C229="","",IFERROR(VLOOKUP($D$1,LaborRates!$A:$D,3,0)-10,""))</f>
        <v/>
      </c>
      <c r="S229" s="43" t="str">
        <f t="shared" si="11"/>
        <v/>
      </c>
    </row>
    <row r="230" spans="2:19" ht="15" customHeight="1" x14ac:dyDescent="0.25">
      <c r="B230" s="71"/>
      <c r="C230" s="71"/>
      <c r="D230" s="71"/>
      <c r="E230" s="71"/>
      <c r="F230" s="71"/>
      <c r="G230" s="71"/>
      <c r="H230" s="71"/>
      <c r="I230" s="72"/>
      <c r="J230" s="72"/>
      <c r="K230" s="72"/>
      <c r="L230" s="72"/>
      <c r="M230" s="72"/>
      <c r="N230" s="72"/>
      <c r="O230" s="73" t="str">
        <f t="shared" si="9"/>
        <v/>
      </c>
      <c r="P230" s="43" t="str">
        <f t="shared" si="10"/>
        <v/>
      </c>
      <c r="Q230" s="74" t="str">
        <f>IF(C230="","",IFERROR(ROUND(C230/VLOOKUP($D$1,LaborRates!$A:$D,4,0),2),""))</f>
        <v/>
      </c>
      <c r="R230" s="75" t="str">
        <f>IF(C230="","",IFERROR(VLOOKUP($D$1,LaborRates!$A:$D,3,0)-10,""))</f>
        <v/>
      </c>
      <c r="S230" s="43" t="str">
        <f t="shared" si="11"/>
        <v/>
      </c>
    </row>
    <row r="231" spans="2:19" ht="15" customHeight="1" x14ac:dyDescent="0.25">
      <c r="B231" s="71"/>
      <c r="C231" s="71"/>
      <c r="D231" s="71"/>
      <c r="E231" s="71"/>
      <c r="F231" s="71"/>
      <c r="G231" s="71"/>
      <c r="H231" s="71"/>
      <c r="I231" s="72"/>
      <c r="J231" s="72"/>
      <c r="K231" s="72"/>
      <c r="L231" s="72"/>
      <c r="M231" s="72"/>
      <c r="N231" s="72"/>
      <c r="O231" s="73" t="str">
        <f t="shared" si="9"/>
        <v/>
      </c>
      <c r="P231" s="43" t="str">
        <f t="shared" si="10"/>
        <v/>
      </c>
      <c r="Q231" s="74" t="str">
        <f>IF(C231="","",IFERROR(ROUND(C231/VLOOKUP($D$1,LaborRates!$A:$D,4,0),2),""))</f>
        <v/>
      </c>
      <c r="R231" s="75" t="str">
        <f>IF(C231="","",IFERROR(VLOOKUP($D$1,LaborRates!$A:$D,3,0)-10,""))</f>
        <v/>
      </c>
      <c r="S231" s="43" t="str">
        <f t="shared" si="11"/>
        <v/>
      </c>
    </row>
    <row r="232" spans="2:19" ht="15" customHeight="1" x14ac:dyDescent="0.25">
      <c r="B232" s="71"/>
      <c r="C232" s="71"/>
      <c r="D232" s="71"/>
      <c r="E232" s="71"/>
      <c r="F232" s="71"/>
      <c r="G232" s="71"/>
      <c r="H232" s="71"/>
      <c r="I232" s="72"/>
      <c r="J232" s="72"/>
      <c r="K232" s="72"/>
      <c r="L232" s="72"/>
      <c r="M232" s="72"/>
      <c r="N232" s="72"/>
      <c r="O232" s="73" t="str">
        <f t="shared" si="9"/>
        <v/>
      </c>
      <c r="P232" s="43" t="str">
        <f t="shared" si="10"/>
        <v/>
      </c>
      <c r="Q232" s="74" t="str">
        <f>IF(C232="","",IFERROR(ROUND(C232/VLOOKUP($D$1,LaborRates!$A:$D,4,0),2),""))</f>
        <v/>
      </c>
      <c r="R232" s="75" t="str">
        <f>IF(C232="","",IFERROR(VLOOKUP($D$1,LaborRates!$A:$D,3,0)-10,""))</f>
        <v/>
      </c>
      <c r="S232" s="43" t="str">
        <f t="shared" si="11"/>
        <v/>
      </c>
    </row>
    <row r="233" spans="2:19" ht="15" customHeight="1" x14ac:dyDescent="0.25">
      <c r="B233" s="71"/>
      <c r="C233" s="71"/>
      <c r="D233" s="71"/>
      <c r="E233" s="71"/>
      <c r="F233" s="71"/>
      <c r="G233" s="71"/>
      <c r="H233" s="71"/>
      <c r="I233" s="72"/>
      <c r="J233" s="72"/>
      <c r="K233" s="72"/>
      <c r="L233" s="72"/>
      <c r="M233" s="72"/>
      <c r="N233" s="72"/>
      <c r="O233" s="73" t="str">
        <f t="shared" si="9"/>
        <v/>
      </c>
      <c r="P233" s="43" t="str">
        <f t="shared" si="10"/>
        <v/>
      </c>
      <c r="Q233" s="74" t="str">
        <f>IF(C233="","",IFERROR(ROUND(C233/VLOOKUP($D$1,LaborRates!$A:$D,4,0),2),""))</f>
        <v/>
      </c>
      <c r="R233" s="75" t="str">
        <f>IF(C233="","",IFERROR(VLOOKUP($D$1,LaborRates!$A:$D,3,0)-10,""))</f>
        <v/>
      </c>
      <c r="S233" s="43" t="str">
        <f t="shared" si="11"/>
        <v/>
      </c>
    </row>
    <row r="234" spans="2:19" ht="15" customHeight="1" x14ac:dyDescent="0.25">
      <c r="B234" s="71"/>
      <c r="C234" s="71"/>
      <c r="D234" s="71"/>
      <c r="E234" s="71"/>
      <c r="F234" s="71"/>
      <c r="G234" s="71"/>
      <c r="H234" s="71"/>
      <c r="I234" s="72"/>
      <c r="J234" s="72"/>
      <c r="K234" s="72"/>
      <c r="L234" s="72"/>
      <c r="M234" s="72"/>
      <c r="N234" s="72"/>
      <c r="O234" s="73" t="str">
        <f t="shared" si="9"/>
        <v/>
      </c>
      <c r="P234" s="43" t="str">
        <f t="shared" si="10"/>
        <v/>
      </c>
      <c r="Q234" s="74" t="str">
        <f>IF(C234="","",IFERROR(ROUND(C234/VLOOKUP($D$1,LaborRates!$A:$D,4,0),2),""))</f>
        <v/>
      </c>
      <c r="R234" s="75" t="str">
        <f>IF(C234="","",IFERROR(VLOOKUP($D$1,LaborRates!$A:$D,3,0)-10,""))</f>
        <v/>
      </c>
      <c r="S234" s="43" t="str">
        <f t="shared" si="11"/>
        <v/>
      </c>
    </row>
    <row r="235" spans="2:19" ht="15" customHeight="1" x14ac:dyDescent="0.25">
      <c r="B235" s="71"/>
      <c r="C235" s="71"/>
      <c r="D235" s="71"/>
      <c r="E235" s="71"/>
      <c r="F235" s="71"/>
      <c r="G235" s="71"/>
      <c r="H235" s="71"/>
      <c r="I235" s="72"/>
      <c r="J235" s="72"/>
      <c r="K235" s="72"/>
      <c r="L235" s="72"/>
      <c r="M235" s="72"/>
      <c r="N235" s="72"/>
      <c r="O235" s="73" t="str">
        <f t="shared" si="9"/>
        <v/>
      </c>
      <c r="P235" s="43" t="str">
        <f t="shared" si="10"/>
        <v/>
      </c>
      <c r="Q235" s="74" t="str">
        <f>IF(C235="","",IFERROR(ROUND(C235/VLOOKUP($D$1,LaborRates!$A:$D,4,0),2),""))</f>
        <v/>
      </c>
      <c r="R235" s="75" t="str">
        <f>IF(C235="","",IFERROR(VLOOKUP($D$1,LaborRates!$A:$D,3,0)-10,""))</f>
        <v/>
      </c>
      <c r="S235" s="43" t="str">
        <f t="shared" si="11"/>
        <v/>
      </c>
    </row>
    <row r="236" spans="2:19" ht="15" customHeight="1" x14ac:dyDescent="0.25">
      <c r="B236" s="71"/>
      <c r="C236" s="71"/>
      <c r="D236" s="71"/>
      <c r="E236" s="71"/>
      <c r="F236" s="71"/>
      <c r="G236" s="71"/>
      <c r="H236" s="71"/>
      <c r="I236" s="72"/>
      <c r="J236" s="72"/>
      <c r="K236" s="72"/>
      <c r="L236" s="72"/>
      <c r="M236" s="72"/>
      <c r="N236" s="72"/>
      <c r="O236" s="73" t="str">
        <f t="shared" si="9"/>
        <v/>
      </c>
      <c r="P236" s="43" t="str">
        <f t="shared" si="10"/>
        <v/>
      </c>
      <c r="Q236" s="74" t="str">
        <f>IF(C236="","",IFERROR(ROUND(C236/VLOOKUP($D$1,LaborRates!$A:$D,4,0),2),""))</f>
        <v/>
      </c>
      <c r="R236" s="75" t="str">
        <f>IF(C236="","",IFERROR(VLOOKUP($D$1,LaborRates!$A:$D,3,0)-10,""))</f>
        <v/>
      </c>
      <c r="S236" s="43" t="str">
        <f t="shared" si="11"/>
        <v/>
      </c>
    </row>
    <row r="237" spans="2:19" ht="15" customHeight="1" x14ac:dyDescent="0.25">
      <c r="B237" s="71"/>
      <c r="C237" s="71"/>
      <c r="D237" s="71"/>
      <c r="E237" s="71"/>
      <c r="F237" s="71"/>
      <c r="G237" s="71"/>
      <c r="H237" s="71"/>
      <c r="I237" s="72"/>
      <c r="J237" s="72"/>
      <c r="K237" s="72"/>
      <c r="L237" s="72"/>
      <c r="M237" s="72"/>
      <c r="N237" s="72"/>
      <c r="O237" s="73" t="str">
        <f t="shared" si="9"/>
        <v/>
      </c>
      <c r="P237" s="43" t="str">
        <f t="shared" si="10"/>
        <v/>
      </c>
      <c r="Q237" s="74" t="str">
        <f>IF(C237="","",IFERROR(ROUND(C237/VLOOKUP($D$1,LaborRates!$A:$D,4,0),2),""))</f>
        <v/>
      </c>
      <c r="R237" s="75" t="str">
        <f>IF(C237="","",IFERROR(VLOOKUP($D$1,LaborRates!$A:$D,3,0)-10,""))</f>
        <v/>
      </c>
      <c r="S237" s="43" t="str">
        <f t="shared" si="11"/>
        <v/>
      </c>
    </row>
    <row r="238" spans="2:19" ht="15" customHeight="1" x14ac:dyDescent="0.25">
      <c r="B238" s="71"/>
      <c r="C238" s="71"/>
      <c r="D238" s="71"/>
      <c r="E238" s="71"/>
      <c r="F238" s="71"/>
      <c r="G238" s="71"/>
      <c r="H238" s="71"/>
      <c r="I238" s="72"/>
      <c r="J238" s="72"/>
      <c r="K238" s="72"/>
      <c r="L238" s="72"/>
      <c r="M238" s="72"/>
      <c r="N238" s="72"/>
      <c r="O238" s="73" t="str">
        <f t="shared" si="9"/>
        <v/>
      </c>
      <c r="P238" s="43" t="str">
        <f t="shared" si="10"/>
        <v/>
      </c>
      <c r="Q238" s="74" t="str">
        <f>IF(C238="","",IFERROR(ROUND(C238/VLOOKUP($D$1,LaborRates!$A:$D,4,0),2),""))</f>
        <v/>
      </c>
      <c r="R238" s="75" t="str">
        <f>IF(C238="","",IFERROR(VLOOKUP($D$1,LaborRates!$A:$D,3,0)-10,""))</f>
        <v/>
      </c>
      <c r="S238" s="43" t="str">
        <f t="shared" si="11"/>
        <v/>
      </c>
    </row>
    <row r="239" spans="2:19" ht="15" customHeight="1" x14ac:dyDescent="0.25">
      <c r="B239" s="71"/>
      <c r="C239" s="71"/>
      <c r="D239" s="71"/>
      <c r="E239" s="71"/>
      <c r="F239" s="71"/>
      <c r="G239" s="71"/>
      <c r="H239" s="71"/>
      <c r="I239" s="72"/>
      <c r="J239" s="72"/>
      <c r="K239" s="72"/>
      <c r="L239" s="72"/>
      <c r="M239" s="72"/>
      <c r="N239" s="72"/>
      <c r="O239" s="73" t="str">
        <f t="shared" si="9"/>
        <v/>
      </c>
      <c r="P239" s="43" t="str">
        <f t="shared" si="10"/>
        <v/>
      </c>
      <c r="Q239" s="74" t="str">
        <f>IF(C239="","",IFERROR(ROUND(C239/VLOOKUP($D$1,LaborRates!$A:$D,4,0),2),""))</f>
        <v/>
      </c>
      <c r="R239" s="75" t="str">
        <f>IF(C239="","",IFERROR(VLOOKUP($D$1,LaborRates!$A:$D,3,0)-10,""))</f>
        <v/>
      </c>
      <c r="S239" s="43" t="str">
        <f t="shared" si="11"/>
        <v/>
      </c>
    </row>
    <row r="240" spans="2:19" ht="15" customHeight="1" x14ac:dyDescent="0.25">
      <c r="B240" s="71"/>
      <c r="C240" s="71"/>
      <c r="D240" s="71"/>
      <c r="E240" s="71"/>
      <c r="F240" s="71"/>
      <c r="G240" s="71"/>
      <c r="H240" s="71"/>
      <c r="I240" s="72"/>
      <c r="J240" s="72"/>
      <c r="K240" s="72"/>
      <c r="L240" s="72"/>
      <c r="M240" s="72"/>
      <c r="N240" s="72"/>
      <c r="O240" s="73" t="str">
        <f t="shared" si="9"/>
        <v/>
      </c>
      <c r="P240" s="43" t="str">
        <f t="shared" si="10"/>
        <v/>
      </c>
      <c r="Q240" s="74" t="str">
        <f>IF(C240="","",IFERROR(ROUND(C240/VLOOKUP($D$1,LaborRates!$A:$D,4,0),2),""))</f>
        <v/>
      </c>
      <c r="R240" s="75" t="str">
        <f>IF(C240="","",IFERROR(VLOOKUP($D$1,LaborRates!$A:$D,3,0)-10,""))</f>
        <v/>
      </c>
      <c r="S240" s="43" t="str">
        <f t="shared" si="11"/>
        <v/>
      </c>
    </row>
    <row r="241" spans="2:19" ht="15" customHeight="1" x14ac:dyDescent="0.25">
      <c r="B241" s="71"/>
      <c r="C241" s="71"/>
      <c r="D241" s="71"/>
      <c r="E241" s="71"/>
      <c r="F241" s="71"/>
      <c r="G241" s="71"/>
      <c r="H241" s="71"/>
      <c r="I241" s="72"/>
      <c r="J241" s="72"/>
      <c r="K241" s="72"/>
      <c r="L241" s="72"/>
      <c r="M241" s="72"/>
      <c r="N241" s="72"/>
      <c r="O241" s="73" t="str">
        <f t="shared" si="9"/>
        <v/>
      </c>
      <c r="P241" s="43" t="str">
        <f t="shared" si="10"/>
        <v/>
      </c>
      <c r="Q241" s="74" t="str">
        <f>IF(C241="","",IFERROR(ROUND(C241/VLOOKUP($D$1,LaborRates!$A:$D,4,0),2),""))</f>
        <v/>
      </c>
      <c r="R241" s="75" t="str">
        <f>IF(C241="","",IFERROR(VLOOKUP($D$1,LaborRates!$A:$D,3,0)-10,""))</f>
        <v/>
      </c>
      <c r="S241" s="43" t="str">
        <f t="shared" si="11"/>
        <v/>
      </c>
    </row>
    <row r="242" spans="2:19" ht="15" customHeight="1" x14ac:dyDescent="0.25">
      <c r="B242" s="71"/>
      <c r="C242" s="71"/>
      <c r="D242" s="71"/>
      <c r="E242" s="71"/>
      <c r="F242" s="71"/>
      <c r="G242" s="71"/>
      <c r="H242" s="71"/>
      <c r="I242" s="72"/>
      <c r="J242" s="72"/>
      <c r="K242" s="72"/>
      <c r="L242" s="72"/>
      <c r="M242" s="72"/>
      <c r="N242" s="72"/>
      <c r="O242" s="73" t="str">
        <f t="shared" si="9"/>
        <v/>
      </c>
      <c r="P242" s="43" t="str">
        <f t="shared" si="10"/>
        <v/>
      </c>
      <c r="Q242" s="74" t="str">
        <f>IF(C242="","",IFERROR(ROUND(C242/VLOOKUP($D$1,LaborRates!$A:$D,4,0),2),""))</f>
        <v/>
      </c>
      <c r="R242" s="75" t="str">
        <f>IF(C242="","",IFERROR(VLOOKUP($D$1,LaborRates!$A:$D,3,0)-10,""))</f>
        <v/>
      </c>
      <c r="S242" s="43" t="str">
        <f t="shared" si="11"/>
        <v/>
      </c>
    </row>
    <row r="243" spans="2:19" ht="15" customHeight="1" x14ac:dyDescent="0.25">
      <c r="B243" s="71"/>
      <c r="C243" s="71"/>
      <c r="D243" s="71"/>
      <c r="E243" s="71"/>
      <c r="F243" s="71"/>
      <c r="G243" s="71"/>
      <c r="H243" s="71"/>
      <c r="I243" s="72"/>
      <c r="J243" s="72"/>
      <c r="K243" s="72"/>
      <c r="L243" s="72"/>
      <c r="M243" s="72"/>
      <c r="N243" s="72"/>
      <c r="O243" s="73" t="str">
        <f t="shared" si="9"/>
        <v/>
      </c>
      <c r="P243" s="43" t="str">
        <f t="shared" si="10"/>
        <v/>
      </c>
      <c r="Q243" s="74" t="str">
        <f>IF(C243="","",IFERROR(ROUND(C243/VLOOKUP($D$1,LaborRates!$A:$D,4,0),2),""))</f>
        <v/>
      </c>
      <c r="R243" s="75" t="str">
        <f>IF(C243="","",IFERROR(VLOOKUP($D$1,LaborRates!$A:$D,3,0)-10,""))</f>
        <v/>
      </c>
      <c r="S243" s="43" t="str">
        <f t="shared" si="11"/>
        <v/>
      </c>
    </row>
    <row r="244" spans="2:19" ht="15" customHeight="1" x14ac:dyDescent="0.25">
      <c r="B244" s="71"/>
      <c r="C244" s="71"/>
      <c r="D244" s="71"/>
      <c r="E244" s="71"/>
      <c r="F244" s="71"/>
      <c r="G244" s="71"/>
      <c r="H244" s="71"/>
      <c r="I244" s="72"/>
      <c r="J244" s="72"/>
      <c r="K244" s="72"/>
      <c r="L244" s="72"/>
      <c r="M244" s="72"/>
      <c r="N244" s="72"/>
      <c r="O244" s="73" t="str">
        <f t="shared" si="9"/>
        <v/>
      </c>
      <c r="P244" s="43" t="str">
        <f t="shared" si="10"/>
        <v/>
      </c>
      <c r="Q244" s="74" t="str">
        <f>IF(C244="","",IFERROR(ROUND(C244/VLOOKUP($D$1,LaborRates!$A:$D,4,0),2),""))</f>
        <v/>
      </c>
      <c r="R244" s="75" t="str">
        <f>IF(C244="","",IFERROR(VLOOKUP($D$1,LaborRates!$A:$D,3,0)-10,""))</f>
        <v/>
      </c>
      <c r="S244" s="43" t="str">
        <f t="shared" si="11"/>
        <v/>
      </c>
    </row>
    <row r="245" spans="2:19" ht="15" customHeight="1" x14ac:dyDescent="0.25">
      <c r="B245" s="71"/>
      <c r="C245" s="71"/>
      <c r="D245" s="71"/>
      <c r="E245" s="71"/>
      <c r="F245" s="71"/>
      <c r="G245" s="71"/>
      <c r="H245" s="71"/>
      <c r="I245" s="72"/>
      <c r="J245" s="72"/>
      <c r="K245" s="72"/>
      <c r="L245" s="72"/>
      <c r="M245" s="72"/>
      <c r="N245" s="72"/>
      <c r="O245" s="73" t="str">
        <f t="shared" si="9"/>
        <v/>
      </c>
      <c r="P245" s="43" t="str">
        <f t="shared" si="10"/>
        <v/>
      </c>
      <c r="Q245" s="74" t="str">
        <f>IF(C245="","",IFERROR(ROUND(C245/VLOOKUP($D$1,LaborRates!$A:$D,4,0),2),""))</f>
        <v/>
      </c>
      <c r="R245" s="75" t="str">
        <f>IF(C245="","",IFERROR(VLOOKUP($D$1,LaborRates!$A:$D,3,0)-10,""))</f>
        <v/>
      </c>
      <c r="S245" s="43" t="str">
        <f t="shared" si="11"/>
        <v/>
      </c>
    </row>
    <row r="246" spans="2:19" ht="15" customHeight="1" x14ac:dyDescent="0.25">
      <c r="B246" s="71"/>
      <c r="C246" s="71"/>
      <c r="D246" s="71"/>
      <c r="E246" s="71"/>
      <c r="F246" s="71"/>
      <c r="G246" s="71"/>
      <c r="H246" s="71"/>
      <c r="I246" s="72"/>
      <c r="J246" s="72"/>
      <c r="K246" s="72"/>
      <c r="L246" s="72"/>
      <c r="M246" s="72"/>
      <c r="N246" s="72"/>
      <c r="O246" s="73" t="str">
        <f t="shared" si="9"/>
        <v/>
      </c>
      <c r="P246" s="43" t="str">
        <f t="shared" si="10"/>
        <v/>
      </c>
      <c r="Q246" s="74" t="str">
        <f>IF(C246="","",IFERROR(ROUND(C246/VLOOKUP($D$1,LaborRates!$A:$D,4,0),2),""))</f>
        <v/>
      </c>
      <c r="R246" s="75" t="str">
        <f>IF(C246="","",IFERROR(VLOOKUP($D$1,LaborRates!$A:$D,3,0)-10,""))</f>
        <v/>
      </c>
      <c r="S246" s="43" t="str">
        <f t="shared" si="11"/>
        <v/>
      </c>
    </row>
    <row r="247" spans="2:19" ht="15" customHeight="1" x14ac:dyDescent="0.25">
      <c r="B247" s="71"/>
      <c r="C247" s="71"/>
      <c r="D247" s="71"/>
      <c r="E247" s="71"/>
      <c r="F247" s="71"/>
      <c r="G247" s="71"/>
      <c r="H247" s="71"/>
      <c r="I247" s="72"/>
      <c r="J247" s="72"/>
      <c r="K247" s="72"/>
      <c r="L247" s="72"/>
      <c r="M247" s="72"/>
      <c r="N247" s="72"/>
      <c r="O247" s="73" t="str">
        <f t="shared" si="9"/>
        <v/>
      </c>
      <c r="P247" s="43" t="str">
        <f t="shared" si="10"/>
        <v/>
      </c>
      <c r="Q247" s="74" t="str">
        <f>IF(C247="","",IFERROR(ROUND(C247/VLOOKUP($D$1,LaborRates!$A:$D,4,0),2),""))</f>
        <v/>
      </c>
      <c r="R247" s="75" t="str">
        <f>IF(C247="","",IFERROR(VLOOKUP($D$1,LaborRates!$A:$D,3,0)-10,""))</f>
        <v/>
      </c>
      <c r="S247" s="43" t="str">
        <f t="shared" si="11"/>
        <v/>
      </c>
    </row>
    <row r="248" spans="2:19" ht="15" customHeight="1" x14ac:dyDescent="0.25">
      <c r="B248" s="71"/>
      <c r="C248" s="71"/>
      <c r="D248" s="71"/>
      <c r="E248" s="71"/>
      <c r="F248" s="71"/>
      <c r="G248" s="71"/>
      <c r="H248" s="71"/>
      <c r="I248" s="72"/>
      <c r="J248" s="72"/>
      <c r="K248" s="72"/>
      <c r="L248" s="72"/>
      <c r="M248" s="72"/>
      <c r="N248" s="72"/>
      <c r="O248" s="73" t="str">
        <f t="shared" si="9"/>
        <v/>
      </c>
      <c r="P248" s="43" t="str">
        <f t="shared" si="10"/>
        <v/>
      </c>
      <c r="Q248" s="74" t="str">
        <f>IF(C248="","",IFERROR(ROUND(C248/VLOOKUP($D$1,LaborRates!$A:$D,4,0),2),""))</f>
        <v/>
      </c>
      <c r="R248" s="75" t="str">
        <f>IF(C248="","",IFERROR(VLOOKUP($D$1,LaborRates!$A:$D,3,0)-10,""))</f>
        <v/>
      </c>
      <c r="S248" s="43" t="str">
        <f t="shared" si="11"/>
        <v/>
      </c>
    </row>
    <row r="249" spans="2:19" ht="15" customHeight="1" x14ac:dyDescent="0.25">
      <c r="B249" s="71"/>
      <c r="C249" s="71"/>
      <c r="D249" s="71"/>
      <c r="E249" s="71"/>
      <c r="F249" s="71"/>
      <c r="G249" s="71"/>
      <c r="H249" s="71"/>
      <c r="I249" s="72"/>
      <c r="J249" s="72"/>
      <c r="K249" s="72"/>
      <c r="L249" s="72"/>
      <c r="M249" s="72"/>
      <c r="N249" s="72"/>
      <c r="O249" s="73" t="str">
        <f t="shared" si="9"/>
        <v/>
      </c>
      <c r="P249" s="43" t="str">
        <f t="shared" si="10"/>
        <v/>
      </c>
      <c r="Q249" s="74" t="str">
        <f>IF(C249="","",IFERROR(ROUND(C249/VLOOKUP($D$1,LaborRates!$A:$D,4,0),2),""))</f>
        <v/>
      </c>
      <c r="R249" s="75" t="str">
        <f>IF(C249="","",IFERROR(VLOOKUP($D$1,LaborRates!$A:$D,3,0)-10,""))</f>
        <v/>
      </c>
      <c r="S249" s="43" t="str">
        <f t="shared" si="11"/>
        <v/>
      </c>
    </row>
    <row r="250" spans="2:19" ht="15" customHeight="1" x14ac:dyDescent="0.25">
      <c r="B250" s="71"/>
      <c r="C250" s="71"/>
      <c r="D250" s="71"/>
      <c r="E250" s="71"/>
      <c r="F250" s="71"/>
      <c r="G250" s="71"/>
      <c r="H250" s="71"/>
      <c r="I250" s="72"/>
      <c r="J250" s="72"/>
      <c r="K250" s="72"/>
      <c r="L250" s="72"/>
      <c r="M250" s="72"/>
      <c r="N250" s="72"/>
      <c r="O250" s="73" t="str">
        <f t="shared" si="9"/>
        <v/>
      </c>
      <c r="P250" s="43" t="str">
        <f t="shared" si="10"/>
        <v/>
      </c>
      <c r="Q250" s="74" t="str">
        <f>IF(C250="","",IFERROR(ROUND(C250/VLOOKUP($D$1,LaborRates!$A:$D,4,0),2),""))</f>
        <v/>
      </c>
      <c r="R250" s="75" t="str">
        <f>IF(C250="","",IFERROR(VLOOKUP($D$1,LaborRates!$A:$D,3,0)-10,""))</f>
        <v/>
      </c>
      <c r="S250" s="43" t="str">
        <f t="shared" si="11"/>
        <v/>
      </c>
    </row>
    <row r="251" spans="2:19" ht="15" customHeight="1" x14ac:dyDescent="0.25">
      <c r="B251" s="71"/>
      <c r="C251" s="71"/>
      <c r="D251" s="71"/>
      <c r="E251" s="71"/>
      <c r="F251" s="71"/>
      <c r="G251" s="71"/>
      <c r="H251" s="71"/>
      <c r="I251" s="72"/>
      <c r="J251" s="72"/>
      <c r="K251" s="72"/>
      <c r="L251" s="72"/>
      <c r="M251" s="72"/>
      <c r="N251" s="72"/>
      <c r="O251" s="73" t="str">
        <f t="shared" si="9"/>
        <v/>
      </c>
      <c r="P251" s="43" t="str">
        <f t="shared" si="10"/>
        <v/>
      </c>
      <c r="Q251" s="74" t="str">
        <f>IF(C251="","",IFERROR(ROUND(C251/VLOOKUP($D$1,LaborRates!$A:$D,4,0),2),""))</f>
        <v/>
      </c>
      <c r="R251" s="75" t="str">
        <f>IF(C251="","",IFERROR(VLOOKUP($D$1,LaborRates!$A:$D,3,0)-10,""))</f>
        <v/>
      </c>
      <c r="S251" s="43" t="str">
        <f t="shared" si="11"/>
        <v/>
      </c>
    </row>
    <row r="252" spans="2:19" ht="15" customHeight="1" x14ac:dyDescent="0.25">
      <c r="B252" s="71"/>
      <c r="C252" s="71"/>
      <c r="D252" s="71"/>
      <c r="E252" s="71"/>
      <c r="F252" s="71"/>
      <c r="G252" s="71"/>
      <c r="H252" s="71"/>
      <c r="I252" s="72"/>
      <c r="J252" s="72"/>
      <c r="K252" s="72"/>
      <c r="L252" s="72"/>
      <c r="M252" s="72"/>
      <c r="N252" s="72"/>
      <c r="O252" s="73" t="str">
        <f t="shared" si="9"/>
        <v/>
      </c>
      <c r="P252" s="43" t="str">
        <f t="shared" si="10"/>
        <v/>
      </c>
      <c r="Q252" s="74" t="str">
        <f>IF(C252="","",IFERROR(ROUND(C252/VLOOKUP($D$1,LaborRates!$A:$D,4,0),2),""))</f>
        <v/>
      </c>
      <c r="R252" s="75" t="str">
        <f>IF(C252="","",IFERROR(VLOOKUP($D$1,LaborRates!$A:$D,3,0)-10,""))</f>
        <v/>
      </c>
      <c r="S252" s="43" t="str">
        <f t="shared" si="11"/>
        <v/>
      </c>
    </row>
    <row r="253" spans="2:19" ht="15" customHeight="1" x14ac:dyDescent="0.25">
      <c r="B253" s="71"/>
      <c r="C253" s="71"/>
      <c r="D253" s="71"/>
      <c r="E253" s="71"/>
      <c r="F253" s="71"/>
      <c r="G253" s="71"/>
      <c r="H253" s="71"/>
      <c r="I253" s="72"/>
      <c r="J253" s="72"/>
      <c r="K253" s="72"/>
      <c r="L253" s="72"/>
      <c r="M253" s="72"/>
      <c r="N253" s="72"/>
      <c r="O253" s="73" t="str">
        <f t="shared" si="9"/>
        <v/>
      </c>
      <c r="P253" s="43" t="str">
        <f t="shared" si="10"/>
        <v/>
      </c>
      <c r="Q253" s="74" t="str">
        <f>IF(C253="","",IFERROR(ROUND(C253/VLOOKUP($D$1,LaborRates!$A:$D,4,0),2),""))</f>
        <v/>
      </c>
      <c r="R253" s="75" t="str">
        <f>IF(C253="","",IFERROR(VLOOKUP($D$1,LaborRates!$A:$D,3,0)-10,""))</f>
        <v/>
      </c>
      <c r="S253" s="43" t="str">
        <f t="shared" si="11"/>
        <v/>
      </c>
    </row>
    <row r="254" spans="2:19" ht="15" customHeight="1" x14ac:dyDescent="0.25">
      <c r="B254" s="71"/>
      <c r="C254" s="71"/>
      <c r="D254" s="71"/>
      <c r="E254" s="71"/>
      <c r="F254" s="71"/>
      <c r="G254" s="71"/>
      <c r="H254" s="71"/>
      <c r="I254" s="72"/>
      <c r="J254" s="72"/>
      <c r="K254" s="72"/>
      <c r="L254" s="72"/>
      <c r="M254" s="72"/>
      <c r="N254" s="72"/>
      <c r="O254" s="73" t="str">
        <f t="shared" si="9"/>
        <v/>
      </c>
      <c r="P254" s="43" t="str">
        <f t="shared" si="10"/>
        <v/>
      </c>
      <c r="Q254" s="74" t="str">
        <f>IF(C254="","",IFERROR(ROUND(C254/VLOOKUP($D$1,LaborRates!$A:$D,4,0),2),""))</f>
        <v/>
      </c>
      <c r="R254" s="75" t="str">
        <f>IF(C254="","",IFERROR(VLOOKUP($D$1,LaborRates!$A:$D,3,0)-10,""))</f>
        <v/>
      </c>
      <c r="S254" s="43" t="str">
        <f t="shared" si="11"/>
        <v/>
      </c>
    </row>
    <row r="255" spans="2:19" ht="15" customHeight="1" x14ac:dyDescent="0.25">
      <c r="B255" s="71"/>
      <c r="C255" s="71"/>
      <c r="D255" s="71"/>
      <c r="E255" s="71"/>
      <c r="F255" s="71"/>
      <c r="G255" s="71"/>
      <c r="H255" s="71"/>
      <c r="I255" s="72"/>
      <c r="J255" s="72"/>
      <c r="K255" s="72"/>
      <c r="L255" s="72"/>
      <c r="M255" s="72"/>
      <c r="N255" s="72"/>
      <c r="O255" s="73" t="str">
        <f t="shared" si="9"/>
        <v/>
      </c>
      <c r="P255" s="43" t="str">
        <f t="shared" si="10"/>
        <v/>
      </c>
      <c r="Q255" s="74" t="str">
        <f>IF(C255="","",IFERROR(ROUND(C255/VLOOKUP($D$1,LaborRates!$A:$D,4,0),2),""))</f>
        <v/>
      </c>
      <c r="R255" s="75" t="str">
        <f>IF(C255="","",IFERROR(VLOOKUP($D$1,LaborRates!$A:$D,3,0)-10,""))</f>
        <v/>
      </c>
      <c r="S255" s="43" t="str">
        <f t="shared" si="11"/>
        <v/>
      </c>
    </row>
    <row r="256" spans="2:19" ht="15" customHeight="1" x14ac:dyDescent="0.25">
      <c r="B256" s="71"/>
      <c r="C256" s="71"/>
      <c r="D256" s="71"/>
      <c r="E256" s="71"/>
      <c r="F256" s="71"/>
      <c r="G256" s="71"/>
      <c r="H256" s="71"/>
      <c r="I256" s="72"/>
      <c r="J256" s="72"/>
      <c r="K256" s="72"/>
      <c r="L256" s="72"/>
      <c r="M256" s="72"/>
      <c r="N256" s="72"/>
      <c r="O256" s="73" t="str">
        <f t="shared" si="9"/>
        <v/>
      </c>
      <c r="P256" s="43" t="str">
        <f t="shared" si="10"/>
        <v/>
      </c>
      <c r="Q256" s="74" t="str">
        <f>IF(C256="","",IFERROR(ROUND(C256/VLOOKUP($D$1,LaborRates!$A:$D,4,0),2),""))</f>
        <v/>
      </c>
      <c r="R256" s="75" t="str">
        <f>IF(C256="","",IFERROR(VLOOKUP($D$1,LaborRates!$A:$D,3,0)-10,""))</f>
        <v/>
      </c>
      <c r="S256" s="43" t="str">
        <f t="shared" si="11"/>
        <v/>
      </c>
    </row>
    <row r="257" spans="2:19" ht="15" customHeight="1" x14ac:dyDescent="0.25">
      <c r="B257" s="71"/>
      <c r="C257" s="71"/>
      <c r="D257" s="71"/>
      <c r="E257" s="71"/>
      <c r="F257" s="71"/>
      <c r="G257" s="71"/>
      <c r="H257" s="71"/>
      <c r="I257" s="72"/>
      <c r="J257" s="72"/>
      <c r="K257" s="72"/>
      <c r="L257" s="72"/>
      <c r="M257" s="72"/>
      <c r="N257" s="72"/>
      <c r="O257" s="73" t="str">
        <f t="shared" si="9"/>
        <v/>
      </c>
      <c r="P257" s="43" t="str">
        <f t="shared" si="10"/>
        <v/>
      </c>
      <c r="Q257" s="74" t="str">
        <f>IF(C257="","",IFERROR(ROUND(C257/VLOOKUP($D$1,LaborRates!$A:$D,4,0),2),""))</f>
        <v/>
      </c>
      <c r="R257" s="75" t="str">
        <f>IF(C257="","",IFERROR(VLOOKUP($D$1,LaborRates!$A:$D,3,0)-10,""))</f>
        <v/>
      </c>
      <c r="S257" s="43" t="str">
        <f t="shared" si="11"/>
        <v/>
      </c>
    </row>
    <row r="258" spans="2:19" ht="15" customHeight="1" x14ac:dyDescent="0.25">
      <c r="B258" s="71"/>
      <c r="C258" s="71"/>
      <c r="D258" s="71"/>
      <c r="E258" s="71"/>
      <c r="F258" s="71"/>
      <c r="G258" s="71"/>
      <c r="H258" s="71"/>
      <c r="I258" s="72"/>
      <c r="J258" s="72"/>
      <c r="K258" s="72"/>
      <c r="L258" s="72"/>
      <c r="M258" s="72"/>
      <c r="N258" s="72"/>
      <c r="O258" s="73" t="str">
        <f t="shared" si="9"/>
        <v/>
      </c>
      <c r="P258" s="43" t="str">
        <f t="shared" si="10"/>
        <v/>
      </c>
      <c r="Q258" s="74" t="str">
        <f>IF(C258="","",IFERROR(ROUND(C258/VLOOKUP($D$1,LaborRates!$A:$D,4,0),2),""))</f>
        <v/>
      </c>
      <c r="R258" s="75" t="str">
        <f>IF(C258="","",IFERROR(VLOOKUP($D$1,LaborRates!$A:$D,3,0)-10,""))</f>
        <v/>
      </c>
      <c r="S258" s="43" t="str">
        <f t="shared" si="11"/>
        <v/>
      </c>
    </row>
    <row r="259" spans="2:19" ht="15" customHeight="1" x14ac:dyDescent="0.25">
      <c r="B259" s="71"/>
      <c r="C259" s="71"/>
      <c r="D259" s="71"/>
      <c r="E259" s="71"/>
      <c r="F259" s="71"/>
      <c r="G259" s="71"/>
      <c r="H259" s="71"/>
      <c r="I259" s="72"/>
      <c r="J259" s="72"/>
      <c r="K259" s="72"/>
      <c r="L259" s="72"/>
      <c r="M259" s="72"/>
      <c r="N259" s="72"/>
      <c r="O259" s="73" t="str">
        <f t="shared" si="9"/>
        <v/>
      </c>
      <c r="P259" s="43" t="str">
        <f t="shared" si="10"/>
        <v/>
      </c>
      <c r="Q259" s="74" t="str">
        <f>IF(C259="","",IFERROR(ROUND(C259/VLOOKUP($D$1,LaborRates!$A:$D,4,0),2),""))</f>
        <v/>
      </c>
      <c r="R259" s="75" t="str">
        <f>IF(C259="","",IFERROR(VLOOKUP($D$1,LaborRates!$A:$D,3,0)-10,""))</f>
        <v/>
      </c>
      <c r="S259" s="43" t="str">
        <f t="shared" si="11"/>
        <v/>
      </c>
    </row>
    <row r="260" spans="2:19" ht="15" customHeight="1" x14ac:dyDescent="0.25">
      <c r="B260" s="71"/>
      <c r="C260" s="71"/>
      <c r="D260" s="71"/>
      <c r="E260" s="71"/>
      <c r="F260" s="71"/>
      <c r="G260" s="71"/>
      <c r="H260" s="71"/>
      <c r="I260" s="72"/>
      <c r="J260" s="72"/>
      <c r="K260" s="72"/>
      <c r="L260" s="72"/>
      <c r="M260" s="72"/>
      <c r="N260" s="72"/>
      <c r="O260" s="73" t="str">
        <f t="shared" si="9"/>
        <v/>
      </c>
      <c r="P260" s="43" t="str">
        <f t="shared" si="10"/>
        <v/>
      </c>
      <c r="Q260" s="74" t="str">
        <f>IF(C260="","",IFERROR(ROUND(C260/VLOOKUP($D$1,LaborRates!$A:$D,4,0),2),""))</f>
        <v/>
      </c>
      <c r="R260" s="75" t="str">
        <f>IF(C260="","",IFERROR(VLOOKUP($D$1,LaborRates!$A:$D,3,0)-10,""))</f>
        <v/>
      </c>
      <c r="S260" s="43" t="str">
        <f t="shared" si="11"/>
        <v/>
      </c>
    </row>
    <row r="261" spans="2:19" ht="15" customHeight="1" x14ac:dyDescent="0.25">
      <c r="B261" s="71"/>
      <c r="C261" s="71"/>
      <c r="D261" s="71"/>
      <c r="E261" s="71"/>
      <c r="F261" s="71"/>
      <c r="G261" s="71"/>
      <c r="H261" s="71"/>
      <c r="I261" s="72"/>
      <c r="J261" s="72"/>
      <c r="K261" s="72"/>
      <c r="L261" s="72"/>
      <c r="M261" s="72"/>
      <c r="N261" s="72"/>
      <c r="O261" s="73" t="str">
        <f t="shared" si="9"/>
        <v/>
      </c>
      <c r="P261" s="43" t="str">
        <f t="shared" si="10"/>
        <v/>
      </c>
      <c r="Q261" s="74" t="str">
        <f>IF(C261="","",IFERROR(ROUND(C261/VLOOKUP($D$1,LaborRates!$A:$D,4,0),2),""))</f>
        <v/>
      </c>
      <c r="R261" s="75" t="str">
        <f>IF(C261="","",IFERROR(VLOOKUP($D$1,LaborRates!$A:$D,3,0)-10,""))</f>
        <v/>
      </c>
      <c r="S261" s="43" t="str">
        <f t="shared" si="11"/>
        <v/>
      </c>
    </row>
    <row r="262" spans="2:19" ht="15" customHeight="1" x14ac:dyDescent="0.25">
      <c r="B262" s="71"/>
      <c r="C262" s="71"/>
      <c r="D262" s="71"/>
      <c r="E262" s="71"/>
      <c r="F262" s="71"/>
      <c r="G262" s="71"/>
      <c r="H262" s="71"/>
      <c r="I262" s="72"/>
      <c r="J262" s="72"/>
      <c r="K262" s="72"/>
      <c r="L262" s="72"/>
      <c r="M262" s="72"/>
      <c r="N262" s="72"/>
      <c r="O262" s="73" t="str">
        <f t="shared" si="9"/>
        <v/>
      </c>
      <c r="P262" s="43" t="str">
        <f t="shared" si="10"/>
        <v/>
      </c>
      <c r="Q262" s="74" t="str">
        <f>IF(C262="","",IFERROR(ROUND(C262/VLOOKUP($D$1,LaborRates!$A:$D,4,0),2),""))</f>
        <v/>
      </c>
      <c r="R262" s="75" t="str">
        <f>IF(C262="","",IFERROR(VLOOKUP($D$1,LaborRates!$A:$D,3,0)-10,""))</f>
        <v/>
      </c>
      <c r="S262" s="43" t="str">
        <f t="shared" si="11"/>
        <v/>
      </c>
    </row>
    <row r="263" spans="2:19" ht="15" customHeight="1" x14ac:dyDescent="0.25">
      <c r="B263" s="71"/>
      <c r="C263" s="71"/>
      <c r="D263" s="71"/>
      <c r="E263" s="71"/>
      <c r="F263" s="71"/>
      <c r="G263" s="71"/>
      <c r="H263" s="71"/>
      <c r="I263" s="72"/>
      <c r="J263" s="72"/>
      <c r="K263" s="72"/>
      <c r="L263" s="72"/>
      <c r="M263" s="72"/>
      <c r="N263" s="72"/>
      <c r="O263" s="73" t="str">
        <f t="shared" si="9"/>
        <v/>
      </c>
      <c r="P263" s="43" t="str">
        <f t="shared" si="10"/>
        <v/>
      </c>
      <c r="Q263" s="74" t="str">
        <f>IF(C263="","",IFERROR(ROUND(C263/VLOOKUP($D$1,LaborRates!$A:$D,4,0),2),""))</f>
        <v/>
      </c>
      <c r="R263" s="75" t="str">
        <f>IF(C263="","",IFERROR(VLOOKUP($D$1,LaborRates!$A:$D,3,0)-10,""))</f>
        <v/>
      </c>
      <c r="S263" s="43" t="str">
        <f t="shared" si="11"/>
        <v/>
      </c>
    </row>
    <row r="264" spans="2:19" ht="15" customHeight="1" x14ac:dyDescent="0.25">
      <c r="B264" s="71"/>
      <c r="C264" s="71"/>
      <c r="D264" s="71"/>
      <c r="E264" s="71"/>
      <c r="F264" s="71"/>
      <c r="G264" s="71"/>
      <c r="H264" s="71"/>
      <c r="I264" s="72"/>
      <c r="J264" s="72"/>
      <c r="K264" s="72"/>
      <c r="L264" s="72"/>
      <c r="M264" s="72"/>
      <c r="N264" s="72"/>
      <c r="O264" s="73" t="str">
        <f t="shared" si="9"/>
        <v/>
      </c>
      <c r="P264" s="43" t="str">
        <f t="shared" si="10"/>
        <v/>
      </c>
      <c r="Q264" s="74" t="str">
        <f>IF(C264="","",IFERROR(ROUND(C264/VLOOKUP($D$1,LaborRates!$A:$D,4,0),2),""))</f>
        <v/>
      </c>
      <c r="R264" s="75" t="str">
        <f>IF(C264="","",IFERROR(VLOOKUP($D$1,LaborRates!$A:$D,3,0)-10,""))</f>
        <v/>
      </c>
      <c r="S264" s="43" t="str">
        <f t="shared" si="11"/>
        <v/>
      </c>
    </row>
    <row r="265" spans="2:19" ht="15" customHeight="1" x14ac:dyDescent="0.25">
      <c r="B265" s="71"/>
      <c r="C265" s="71"/>
      <c r="D265" s="71"/>
      <c r="E265" s="71"/>
      <c r="F265" s="71"/>
      <c r="G265" s="71"/>
      <c r="H265" s="71"/>
      <c r="I265" s="72"/>
      <c r="J265" s="72"/>
      <c r="K265" s="72"/>
      <c r="L265" s="72"/>
      <c r="M265" s="72"/>
      <c r="N265" s="72"/>
      <c r="O265" s="73" t="str">
        <f t="shared" si="9"/>
        <v/>
      </c>
      <c r="P265" s="43" t="str">
        <f t="shared" si="10"/>
        <v/>
      </c>
      <c r="Q265" s="74" t="str">
        <f>IF(C265="","",IFERROR(ROUND(C265/VLOOKUP($D$1,LaborRates!$A:$D,4,0),2),""))</f>
        <v/>
      </c>
      <c r="R265" s="75" t="str">
        <f>IF(C265="","",IFERROR(VLOOKUP($D$1,LaborRates!$A:$D,3,0)-10,""))</f>
        <v/>
      </c>
      <c r="S265" s="43" t="str">
        <f t="shared" si="11"/>
        <v/>
      </c>
    </row>
    <row r="266" spans="2:19" ht="15" customHeight="1" x14ac:dyDescent="0.25">
      <c r="B266" s="71"/>
      <c r="C266" s="71"/>
      <c r="D266" s="71"/>
      <c r="E266" s="71"/>
      <c r="F266" s="71"/>
      <c r="G266" s="71"/>
      <c r="H266" s="71"/>
      <c r="I266" s="72"/>
      <c r="J266" s="72"/>
      <c r="K266" s="72"/>
      <c r="L266" s="72"/>
      <c r="M266" s="72"/>
      <c r="N266" s="72"/>
      <c r="O266" s="73" t="str">
        <f t="shared" si="9"/>
        <v/>
      </c>
      <c r="P266" s="43" t="str">
        <f t="shared" si="10"/>
        <v/>
      </c>
      <c r="Q266" s="74" t="str">
        <f>IF(C266="","",IFERROR(ROUND(C266/VLOOKUP($D$1,LaborRates!$A:$D,4,0),2),""))</f>
        <v/>
      </c>
      <c r="R266" s="75" t="str">
        <f>IF(C266="","",IFERROR(VLOOKUP($D$1,LaborRates!$A:$D,3,0)-10,""))</f>
        <v/>
      </c>
      <c r="S266" s="43" t="str">
        <f t="shared" si="11"/>
        <v/>
      </c>
    </row>
    <row r="267" spans="2:19" ht="15" customHeight="1" x14ac:dyDescent="0.25">
      <c r="B267" s="71"/>
      <c r="C267" s="71"/>
      <c r="D267" s="71"/>
      <c r="E267" s="71"/>
      <c r="F267" s="71"/>
      <c r="G267" s="71"/>
      <c r="H267" s="71"/>
      <c r="I267" s="72"/>
      <c r="J267" s="72"/>
      <c r="K267" s="72"/>
      <c r="L267" s="72"/>
      <c r="M267" s="72"/>
      <c r="N267" s="72"/>
      <c r="O267" s="73" t="str">
        <f t="shared" si="9"/>
        <v/>
      </c>
      <c r="P267" s="43" t="str">
        <f t="shared" si="10"/>
        <v/>
      </c>
      <c r="Q267" s="74" t="str">
        <f>IF(C267="","",IFERROR(ROUND(C267/VLOOKUP($D$1,LaborRates!$A:$D,4,0),2),""))</f>
        <v/>
      </c>
      <c r="R267" s="75" t="str">
        <f>IF(C267="","",IFERROR(VLOOKUP($D$1,LaborRates!$A:$D,3,0)-10,""))</f>
        <v/>
      </c>
      <c r="S267" s="43" t="str">
        <f t="shared" si="11"/>
        <v/>
      </c>
    </row>
    <row r="268" spans="2:19" ht="15" customHeight="1" x14ac:dyDescent="0.25">
      <c r="B268" s="71"/>
      <c r="C268" s="71"/>
      <c r="D268" s="71"/>
      <c r="E268" s="71"/>
      <c r="F268" s="71"/>
      <c r="G268" s="71"/>
      <c r="H268" s="71"/>
      <c r="I268" s="72"/>
      <c r="J268" s="72"/>
      <c r="K268" s="72"/>
      <c r="L268" s="72"/>
      <c r="M268" s="72"/>
      <c r="N268" s="72"/>
      <c r="O268" s="73" t="str">
        <f t="shared" si="9"/>
        <v/>
      </c>
      <c r="P268" s="43" t="str">
        <f t="shared" si="10"/>
        <v/>
      </c>
      <c r="Q268" s="74" t="str">
        <f>IF(C268="","",IFERROR(ROUND(C268/VLOOKUP($D$1,LaborRates!$A:$D,4,0),2),""))</f>
        <v/>
      </c>
      <c r="R268" s="75" t="str">
        <f>IF(C268="","",IFERROR(VLOOKUP($D$1,LaborRates!$A:$D,3,0)-10,""))</f>
        <v/>
      </c>
      <c r="S268" s="43" t="str">
        <f t="shared" si="11"/>
        <v/>
      </c>
    </row>
    <row r="269" spans="2:19" ht="15" customHeight="1" x14ac:dyDescent="0.25">
      <c r="B269" s="71"/>
      <c r="C269" s="71"/>
      <c r="D269" s="71"/>
      <c r="E269" s="71"/>
      <c r="F269" s="71"/>
      <c r="G269" s="71"/>
      <c r="H269" s="71"/>
      <c r="I269" s="72"/>
      <c r="J269" s="72"/>
      <c r="K269" s="72"/>
      <c r="L269" s="72"/>
      <c r="M269" s="72"/>
      <c r="N269" s="72"/>
      <c r="O269" s="73" t="str">
        <f t="shared" si="9"/>
        <v/>
      </c>
      <c r="P269" s="43" t="str">
        <f t="shared" si="10"/>
        <v/>
      </c>
      <c r="Q269" s="74" t="str">
        <f>IF(C269="","",IFERROR(ROUND(C269/VLOOKUP($D$1,LaborRates!$A:$D,4,0),2),""))</f>
        <v/>
      </c>
      <c r="R269" s="75" t="str">
        <f>IF(C269="","",IFERROR(VLOOKUP($D$1,LaborRates!$A:$D,3,0)-10,""))</f>
        <v/>
      </c>
      <c r="S269" s="43" t="str">
        <f t="shared" si="11"/>
        <v/>
      </c>
    </row>
    <row r="270" spans="2:19" ht="15" customHeight="1" x14ac:dyDescent="0.25">
      <c r="B270" s="71"/>
      <c r="C270" s="71"/>
      <c r="D270" s="71"/>
      <c r="E270" s="71"/>
      <c r="F270" s="71"/>
      <c r="G270" s="71"/>
      <c r="H270" s="71"/>
      <c r="I270" s="72"/>
      <c r="J270" s="72"/>
      <c r="K270" s="72"/>
      <c r="L270" s="72"/>
      <c r="M270" s="72"/>
      <c r="N270" s="72"/>
      <c r="O270" s="73" t="str">
        <f t="shared" si="9"/>
        <v/>
      </c>
      <c r="P270" s="43" t="str">
        <f t="shared" si="10"/>
        <v/>
      </c>
      <c r="Q270" s="74" t="str">
        <f>IF(C270="","",IFERROR(ROUND(C270/VLOOKUP($D$1,LaborRates!$A:$D,4,0),2),""))</f>
        <v/>
      </c>
      <c r="R270" s="75" t="str">
        <f>IF(C270="","",IFERROR(VLOOKUP($D$1,LaborRates!$A:$D,3,0)-10,""))</f>
        <v/>
      </c>
      <c r="S270" s="43" t="str">
        <f t="shared" si="11"/>
        <v/>
      </c>
    </row>
    <row r="271" spans="2:19" ht="15" customHeight="1" x14ac:dyDescent="0.25">
      <c r="B271" s="71"/>
      <c r="C271" s="71"/>
      <c r="D271" s="71"/>
      <c r="E271" s="71"/>
      <c r="F271" s="71"/>
      <c r="G271" s="71"/>
      <c r="H271" s="71"/>
      <c r="I271" s="72"/>
      <c r="J271" s="72"/>
      <c r="K271" s="72"/>
      <c r="L271" s="72"/>
      <c r="M271" s="72"/>
      <c r="N271" s="72"/>
      <c r="O271" s="73" t="str">
        <f t="shared" ref="O271:O307" si="12">IF(B271&lt;&gt;"",$P$9,"")</f>
        <v/>
      </c>
      <c r="P271" s="43" t="str">
        <f t="shared" ref="P271:P307" si="13">IF(B271&lt;&gt;"",ROUND(B271*(1+O271),2),"")</f>
        <v/>
      </c>
      <c r="Q271" s="74" t="str">
        <f>IF(C271="","",IFERROR(ROUND(C271/VLOOKUP($D$1,LaborRates!$A:$D,4,0),2),""))</f>
        <v/>
      </c>
      <c r="R271" s="75" t="str">
        <f>IF(C271="","",IFERROR(VLOOKUP($D$1,LaborRates!$A:$D,3,0)-10,""))</f>
        <v/>
      </c>
      <c r="S271" s="43" t="str">
        <f t="shared" ref="S271:S307" si="14">IF(OR(Q271="",R271=""),"",ROUND(Q271*R271,2))</f>
        <v/>
      </c>
    </row>
    <row r="272" spans="2:19" ht="15" customHeight="1" x14ac:dyDescent="0.25">
      <c r="B272" s="71"/>
      <c r="C272" s="71"/>
      <c r="D272" s="71"/>
      <c r="E272" s="71"/>
      <c r="F272" s="71"/>
      <c r="G272" s="71"/>
      <c r="H272" s="71"/>
      <c r="I272" s="72"/>
      <c r="J272" s="72"/>
      <c r="K272" s="72"/>
      <c r="L272" s="72"/>
      <c r="M272" s="72"/>
      <c r="N272" s="72"/>
      <c r="O272" s="73" t="str">
        <f t="shared" si="12"/>
        <v/>
      </c>
      <c r="P272" s="43" t="str">
        <f t="shared" si="13"/>
        <v/>
      </c>
      <c r="Q272" s="74" t="str">
        <f>IF(C272="","",IFERROR(ROUND(C272/VLOOKUP($D$1,LaborRates!$A:$D,4,0),2),""))</f>
        <v/>
      </c>
      <c r="R272" s="75" t="str">
        <f>IF(C272="","",IFERROR(VLOOKUP($D$1,LaborRates!$A:$D,3,0)-10,""))</f>
        <v/>
      </c>
      <c r="S272" s="43" t="str">
        <f t="shared" si="14"/>
        <v/>
      </c>
    </row>
    <row r="273" spans="2:19" ht="15" customHeight="1" x14ac:dyDescent="0.25">
      <c r="B273" s="71"/>
      <c r="C273" s="71"/>
      <c r="D273" s="71"/>
      <c r="E273" s="71"/>
      <c r="F273" s="71"/>
      <c r="G273" s="71"/>
      <c r="H273" s="71"/>
      <c r="I273" s="72"/>
      <c r="J273" s="72"/>
      <c r="K273" s="72"/>
      <c r="L273" s="72"/>
      <c r="M273" s="72"/>
      <c r="N273" s="72"/>
      <c r="O273" s="73" t="str">
        <f t="shared" si="12"/>
        <v/>
      </c>
      <c r="P273" s="43" t="str">
        <f t="shared" si="13"/>
        <v/>
      </c>
      <c r="Q273" s="74" t="str">
        <f>IF(C273="","",IFERROR(ROUND(C273/VLOOKUP($D$1,LaborRates!$A:$D,4,0),2),""))</f>
        <v/>
      </c>
      <c r="R273" s="75" t="str">
        <f>IF(C273="","",IFERROR(VLOOKUP($D$1,LaborRates!$A:$D,3,0)-10,""))</f>
        <v/>
      </c>
      <c r="S273" s="43" t="str">
        <f t="shared" si="14"/>
        <v/>
      </c>
    </row>
    <row r="274" spans="2:19" ht="15" customHeight="1" x14ac:dyDescent="0.25">
      <c r="B274" s="71"/>
      <c r="C274" s="71"/>
      <c r="D274" s="71"/>
      <c r="E274" s="71"/>
      <c r="F274" s="71"/>
      <c r="G274" s="71"/>
      <c r="H274" s="71"/>
      <c r="I274" s="72"/>
      <c r="J274" s="72"/>
      <c r="K274" s="72"/>
      <c r="L274" s="72"/>
      <c r="M274" s="72"/>
      <c r="N274" s="72"/>
      <c r="O274" s="73" t="str">
        <f t="shared" si="12"/>
        <v/>
      </c>
      <c r="P274" s="43" t="str">
        <f t="shared" si="13"/>
        <v/>
      </c>
      <c r="Q274" s="74" t="str">
        <f>IF(C274="","",IFERROR(ROUND(C274/VLOOKUP($D$1,LaborRates!$A:$D,4,0),2),""))</f>
        <v/>
      </c>
      <c r="R274" s="75" t="str">
        <f>IF(C274="","",IFERROR(VLOOKUP($D$1,LaborRates!$A:$D,3,0)-10,""))</f>
        <v/>
      </c>
      <c r="S274" s="43" t="str">
        <f t="shared" si="14"/>
        <v/>
      </c>
    </row>
    <row r="275" spans="2:19" ht="15" customHeight="1" x14ac:dyDescent="0.25">
      <c r="B275" s="71"/>
      <c r="C275" s="71"/>
      <c r="D275" s="71"/>
      <c r="E275" s="71"/>
      <c r="F275" s="71"/>
      <c r="G275" s="71"/>
      <c r="H275" s="71"/>
      <c r="I275" s="72"/>
      <c r="J275" s="72"/>
      <c r="K275" s="72"/>
      <c r="L275" s="72"/>
      <c r="M275" s="72"/>
      <c r="N275" s="72"/>
      <c r="O275" s="73" t="str">
        <f t="shared" si="12"/>
        <v/>
      </c>
      <c r="P275" s="43" t="str">
        <f t="shared" si="13"/>
        <v/>
      </c>
      <c r="Q275" s="74" t="str">
        <f>IF(C275="","",IFERROR(ROUND(C275/VLOOKUP($D$1,LaborRates!$A:$D,4,0),2),""))</f>
        <v/>
      </c>
      <c r="R275" s="75" t="str">
        <f>IF(C275="","",IFERROR(VLOOKUP($D$1,LaborRates!$A:$D,3,0)-10,""))</f>
        <v/>
      </c>
      <c r="S275" s="43" t="str">
        <f t="shared" si="14"/>
        <v/>
      </c>
    </row>
    <row r="276" spans="2:19" ht="15" customHeight="1" x14ac:dyDescent="0.25">
      <c r="B276" s="71"/>
      <c r="C276" s="71"/>
      <c r="D276" s="71"/>
      <c r="E276" s="71"/>
      <c r="F276" s="71"/>
      <c r="G276" s="71"/>
      <c r="H276" s="71"/>
      <c r="I276" s="72"/>
      <c r="J276" s="72"/>
      <c r="K276" s="72"/>
      <c r="L276" s="72"/>
      <c r="M276" s="72"/>
      <c r="N276" s="72"/>
      <c r="O276" s="73" t="str">
        <f t="shared" si="12"/>
        <v/>
      </c>
      <c r="P276" s="43" t="str">
        <f t="shared" si="13"/>
        <v/>
      </c>
      <c r="Q276" s="74" t="str">
        <f>IF(C276="","",IFERROR(ROUND(C276/VLOOKUP($D$1,LaborRates!$A:$D,4,0),2),""))</f>
        <v/>
      </c>
      <c r="R276" s="75" t="str">
        <f>IF(C276="","",IFERROR(VLOOKUP($D$1,LaborRates!$A:$D,3,0)-10,""))</f>
        <v/>
      </c>
      <c r="S276" s="43" t="str">
        <f t="shared" si="14"/>
        <v/>
      </c>
    </row>
    <row r="277" spans="2:19" ht="15" customHeight="1" x14ac:dyDescent="0.25">
      <c r="B277" s="71"/>
      <c r="C277" s="71"/>
      <c r="D277" s="71"/>
      <c r="E277" s="71"/>
      <c r="F277" s="71"/>
      <c r="G277" s="71"/>
      <c r="H277" s="71"/>
      <c r="I277" s="72"/>
      <c r="J277" s="72"/>
      <c r="K277" s="72"/>
      <c r="L277" s="72"/>
      <c r="M277" s="72"/>
      <c r="N277" s="72"/>
      <c r="O277" s="73" t="str">
        <f t="shared" si="12"/>
        <v/>
      </c>
      <c r="P277" s="43" t="str">
        <f t="shared" si="13"/>
        <v/>
      </c>
      <c r="Q277" s="74" t="str">
        <f>IF(C277="","",IFERROR(ROUND(C277/VLOOKUP($D$1,LaborRates!$A:$D,4,0),2),""))</f>
        <v/>
      </c>
      <c r="R277" s="75" t="str">
        <f>IF(C277="","",IFERROR(VLOOKUP($D$1,LaborRates!$A:$D,3,0)-10,""))</f>
        <v/>
      </c>
      <c r="S277" s="43" t="str">
        <f t="shared" si="14"/>
        <v/>
      </c>
    </row>
    <row r="278" spans="2:19" ht="15" customHeight="1" x14ac:dyDescent="0.25">
      <c r="B278" s="71"/>
      <c r="C278" s="71"/>
      <c r="D278" s="71"/>
      <c r="E278" s="71"/>
      <c r="F278" s="71"/>
      <c r="G278" s="71"/>
      <c r="H278" s="71"/>
      <c r="I278" s="72"/>
      <c r="J278" s="72"/>
      <c r="K278" s="72"/>
      <c r="L278" s="72"/>
      <c r="M278" s="72"/>
      <c r="N278" s="72"/>
      <c r="O278" s="73" t="str">
        <f t="shared" si="12"/>
        <v/>
      </c>
      <c r="P278" s="43" t="str">
        <f t="shared" si="13"/>
        <v/>
      </c>
      <c r="Q278" s="74" t="str">
        <f>IF(C278="","",IFERROR(ROUND(C278/VLOOKUP($D$1,LaborRates!$A:$D,4,0),2),""))</f>
        <v/>
      </c>
      <c r="R278" s="75" t="str">
        <f>IF(C278="","",IFERROR(VLOOKUP($D$1,LaborRates!$A:$D,3,0)-10,""))</f>
        <v/>
      </c>
      <c r="S278" s="43" t="str">
        <f t="shared" si="14"/>
        <v/>
      </c>
    </row>
    <row r="279" spans="2:19" ht="15" customHeight="1" x14ac:dyDescent="0.25">
      <c r="B279" s="71"/>
      <c r="C279" s="71"/>
      <c r="D279" s="71"/>
      <c r="E279" s="71"/>
      <c r="F279" s="71"/>
      <c r="G279" s="71"/>
      <c r="H279" s="71"/>
      <c r="I279" s="72"/>
      <c r="J279" s="72"/>
      <c r="K279" s="72"/>
      <c r="L279" s="72"/>
      <c r="M279" s="72"/>
      <c r="N279" s="72"/>
      <c r="O279" s="73" t="str">
        <f t="shared" si="12"/>
        <v/>
      </c>
      <c r="P279" s="43" t="str">
        <f t="shared" si="13"/>
        <v/>
      </c>
      <c r="Q279" s="74" t="str">
        <f>IF(C279="","",IFERROR(ROUND(C279/VLOOKUP($D$1,LaborRates!$A:$D,4,0),2),""))</f>
        <v/>
      </c>
      <c r="R279" s="75" t="str">
        <f>IF(C279="","",IFERROR(VLOOKUP($D$1,LaborRates!$A:$D,3,0)-10,""))</f>
        <v/>
      </c>
      <c r="S279" s="43" t="str">
        <f t="shared" si="14"/>
        <v/>
      </c>
    </row>
    <row r="280" spans="2:19" ht="15" customHeight="1" x14ac:dyDescent="0.25">
      <c r="B280" s="71"/>
      <c r="C280" s="71"/>
      <c r="D280" s="71"/>
      <c r="E280" s="71"/>
      <c r="F280" s="71"/>
      <c r="G280" s="71"/>
      <c r="H280" s="71"/>
      <c r="I280" s="72"/>
      <c r="J280" s="72"/>
      <c r="K280" s="72"/>
      <c r="L280" s="72"/>
      <c r="M280" s="72"/>
      <c r="N280" s="72"/>
      <c r="O280" s="73" t="str">
        <f t="shared" si="12"/>
        <v/>
      </c>
      <c r="P280" s="43" t="str">
        <f t="shared" si="13"/>
        <v/>
      </c>
      <c r="Q280" s="74" t="str">
        <f>IF(C280="","",IFERROR(ROUND(C280/VLOOKUP($D$1,LaborRates!$A:$D,4,0),2),""))</f>
        <v/>
      </c>
      <c r="R280" s="75" t="str">
        <f>IF(C280="","",IFERROR(VLOOKUP($D$1,LaborRates!$A:$D,3,0)-10,""))</f>
        <v/>
      </c>
      <c r="S280" s="43" t="str">
        <f t="shared" si="14"/>
        <v/>
      </c>
    </row>
    <row r="281" spans="2:19" ht="15" customHeight="1" x14ac:dyDescent="0.25">
      <c r="B281" s="71"/>
      <c r="C281" s="71"/>
      <c r="D281" s="71"/>
      <c r="E281" s="71"/>
      <c r="F281" s="71"/>
      <c r="G281" s="71"/>
      <c r="H281" s="71"/>
      <c r="I281" s="72"/>
      <c r="J281" s="72"/>
      <c r="K281" s="72"/>
      <c r="L281" s="72"/>
      <c r="M281" s="72"/>
      <c r="N281" s="72"/>
      <c r="O281" s="73" t="str">
        <f t="shared" si="12"/>
        <v/>
      </c>
      <c r="P281" s="43" t="str">
        <f t="shared" si="13"/>
        <v/>
      </c>
      <c r="Q281" s="74" t="str">
        <f>IF(C281="","",IFERROR(ROUND(C281/VLOOKUP($D$1,LaborRates!$A:$D,4,0),2),""))</f>
        <v/>
      </c>
      <c r="R281" s="75" t="str">
        <f>IF(C281="","",IFERROR(VLOOKUP($D$1,LaborRates!$A:$D,3,0)-10,""))</f>
        <v/>
      </c>
      <c r="S281" s="43" t="str">
        <f t="shared" si="14"/>
        <v/>
      </c>
    </row>
    <row r="282" spans="2:19" ht="15" customHeight="1" x14ac:dyDescent="0.25">
      <c r="B282" s="71"/>
      <c r="C282" s="71"/>
      <c r="D282" s="71"/>
      <c r="E282" s="71"/>
      <c r="F282" s="71"/>
      <c r="G282" s="71"/>
      <c r="H282" s="71"/>
      <c r="I282" s="72"/>
      <c r="J282" s="72"/>
      <c r="K282" s="72"/>
      <c r="L282" s="72"/>
      <c r="M282" s="72"/>
      <c r="N282" s="72"/>
      <c r="O282" s="73" t="str">
        <f t="shared" si="12"/>
        <v/>
      </c>
      <c r="P282" s="43" t="str">
        <f t="shared" si="13"/>
        <v/>
      </c>
      <c r="Q282" s="74" t="str">
        <f>IF(C282="","",IFERROR(ROUND(C282/VLOOKUP($D$1,LaborRates!$A:$D,4,0),2),""))</f>
        <v/>
      </c>
      <c r="R282" s="75" t="str">
        <f>IF(C282="","",IFERROR(VLOOKUP($D$1,LaborRates!$A:$D,3,0)-10,""))</f>
        <v/>
      </c>
      <c r="S282" s="43" t="str">
        <f t="shared" si="14"/>
        <v/>
      </c>
    </row>
    <row r="283" spans="2:19" ht="15" customHeight="1" x14ac:dyDescent="0.25">
      <c r="B283" s="71"/>
      <c r="C283" s="71"/>
      <c r="D283" s="71"/>
      <c r="E283" s="71"/>
      <c r="F283" s="71"/>
      <c r="G283" s="71"/>
      <c r="H283" s="71"/>
      <c r="I283" s="72"/>
      <c r="J283" s="72"/>
      <c r="K283" s="72"/>
      <c r="L283" s="72"/>
      <c r="M283" s="72"/>
      <c r="N283" s="72"/>
      <c r="O283" s="73" t="str">
        <f t="shared" si="12"/>
        <v/>
      </c>
      <c r="P283" s="43" t="str">
        <f t="shared" si="13"/>
        <v/>
      </c>
      <c r="Q283" s="74" t="str">
        <f>IF(C283="","",IFERROR(ROUND(C283/VLOOKUP($D$1,LaborRates!$A:$D,4,0),2),""))</f>
        <v/>
      </c>
      <c r="R283" s="75" t="str">
        <f>IF(C283="","",IFERROR(VLOOKUP($D$1,LaborRates!$A:$D,3,0)-10,""))</f>
        <v/>
      </c>
      <c r="S283" s="43" t="str">
        <f t="shared" si="14"/>
        <v/>
      </c>
    </row>
    <row r="284" spans="2:19" ht="15" customHeight="1" x14ac:dyDescent="0.25">
      <c r="B284" s="71"/>
      <c r="C284" s="71"/>
      <c r="D284" s="71"/>
      <c r="E284" s="71"/>
      <c r="F284" s="71"/>
      <c r="G284" s="71"/>
      <c r="H284" s="71"/>
      <c r="I284" s="72"/>
      <c r="J284" s="72"/>
      <c r="K284" s="72"/>
      <c r="L284" s="72"/>
      <c r="M284" s="72"/>
      <c r="N284" s="72"/>
      <c r="O284" s="73" t="str">
        <f t="shared" si="12"/>
        <v/>
      </c>
      <c r="P284" s="43" t="str">
        <f t="shared" si="13"/>
        <v/>
      </c>
      <c r="Q284" s="74" t="str">
        <f>IF(C284="","",IFERROR(ROUND(C284/VLOOKUP($D$1,LaborRates!$A:$D,4,0),2),""))</f>
        <v/>
      </c>
      <c r="R284" s="75" t="str">
        <f>IF(C284="","",IFERROR(VLOOKUP($D$1,LaborRates!$A:$D,3,0)-10,""))</f>
        <v/>
      </c>
      <c r="S284" s="43" t="str">
        <f t="shared" si="14"/>
        <v/>
      </c>
    </row>
    <row r="285" spans="2:19" ht="15" customHeight="1" x14ac:dyDescent="0.25">
      <c r="B285" s="71"/>
      <c r="C285" s="71"/>
      <c r="D285" s="71"/>
      <c r="E285" s="71"/>
      <c r="F285" s="71"/>
      <c r="G285" s="71"/>
      <c r="H285" s="71"/>
      <c r="I285" s="72"/>
      <c r="J285" s="72"/>
      <c r="K285" s="72"/>
      <c r="L285" s="72"/>
      <c r="M285" s="72"/>
      <c r="N285" s="72"/>
      <c r="O285" s="73" t="str">
        <f t="shared" si="12"/>
        <v/>
      </c>
      <c r="P285" s="43" t="str">
        <f t="shared" si="13"/>
        <v/>
      </c>
      <c r="Q285" s="74" t="str">
        <f>IF(C285="","",IFERROR(ROUND(C285/VLOOKUP($D$1,LaborRates!$A:$D,4,0),2),""))</f>
        <v/>
      </c>
      <c r="R285" s="75" t="str">
        <f>IF(C285="","",IFERROR(VLOOKUP($D$1,LaborRates!$A:$D,3,0)-10,""))</f>
        <v/>
      </c>
      <c r="S285" s="43" t="str">
        <f t="shared" si="14"/>
        <v/>
      </c>
    </row>
    <row r="286" spans="2:19" ht="15" customHeight="1" x14ac:dyDescent="0.25">
      <c r="B286" s="71"/>
      <c r="C286" s="71"/>
      <c r="D286" s="71"/>
      <c r="E286" s="71"/>
      <c r="F286" s="71"/>
      <c r="G286" s="71"/>
      <c r="H286" s="71"/>
      <c r="I286" s="72"/>
      <c r="J286" s="72"/>
      <c r="K286" s="72"/>
      <c r="L286" s="72"/>
      <c r="M286" s="72"/>
      <c r="N286" s="72"/>
      <c r="O286" s="73" t="str">
        <f t="shared" si="12"/>
        <v/>
      </c>
      <c r="P286" s="43" t="str">
        <f t="shared" si="13"/>
        <v/>
      </c>
      <c r="Q286" s="74" t="str">
        <f>IF(C286="","",IFERROR(ROUND(C286/VLOOKUP($D$1,LaborRates!$A:$D,4,0),2),""))</f>
        <v/>
      </c>
      <c r="R286" s="75" t="str">
        <f>IF(C286="","",IFERROR(VLOOKUP($D$1,LaborRates!$A:$D,3,0)-10,""))</f>
        <v/>
      </c>
      <c r="S286" s="43" t="str">
        <f t="shared" si="14"/>
        <v/>
      </c>
    </row>
    <row r="287" spans="2:19" ht="15" customHeight="1" x14ac:dyDescent="0.25">
      <c r="B287" s="71"/>
      <c r="C287" s="71"/>
      <c r="D287" s="71"/>
      <c r="E287" s="71"/>
      <c r="F287" s="71"/>
      <c r="G287" s="71"/>
      <c r="H287" s="71"/>
      <c r="I287" s="72"/>
      <c r="J287" s="72"/>
      <c r="K287" s="72"/>
      <c r="L287" s="72"/>
      <c r="M287" s="72"/>
      <c r="N287" s="72"/>
      <c r="O287" s="73" t="str">
        <f t="shared" si="12"/>
        <v/>
      </c>
      <c r="P287" s="43" t="str">
        <f t="shared" si="13"/>
        <v/>
      </c>
      <c r="Q287" s="74" t="str">
        <f>IF(C287="","",IFERROR(ROUND(C287/VLOOKUP($D$1,LaborRates!$A:$D,4,0),2),""))</f>
        <v/>
      </c>
      <c r="R287" s="75" t="str">
        <f>IF(C287="","",IFERROR(VLOOKUP($D$1,LaborRates!$A:$D,3,0)-10,""))</f>
        <v/>
      </c>
      <c r="S287" s="43" t="str">
        <f t="shared" si="14"/>
        <v/>
      </c>
    </row>
    <row r="288" spans="2:19" ht="15" customHeight="1" x14ac:dyDescent="0.25">
      <c r="B288" s="71"/>
      <c r="C288" s="71"/>
      <c r="D288" s="71"/>
      <c r="E288" s="71"/>
      <c r="F288" s="71"/>
      <c r="G288" s="71"/>
      <c r="H288" s="71"/>
      <c r="I288" s="72"/>
      <c r="J288" s="72"/>
      <c r="K288" s="72"/>
      <c r="L288" s="72"/>
      <c r="M288" s="72"/>
      <c r="N288" s="72"/>
      <c r="O288" s="73" t="str">
        <f t="shared" si="12"/>
        <v/>
      </c>
      <c r="P288" s="43" t="str">
        <f t="shared" si="13"/>
        <v/>
      </c>
      <c r="Q288" s="74" t="str">
        <f>IF(C288="","",IFERROR(ROUND(C288/VLOOKUP($D$1,LaborRates!$A:$D,4,0),2),""))</f>
        <v/>
      </c>
      <c r="R288" s="75" t="str">
        <f>IF(C288="","",IFERROR(VLOOKUP($D$1,LaborRates!$A:$D,3,0)-10,""))</f>
        <v/>
      </c>
      <c r="S288" s="43" t="str">
        <f t="shared" si="14"/>
        <v/>
      </c>
    </row>
    <row r="289" spans="2:19" ht="15" customHeight="1" x14ac:dyDescent="0.25">
      <c r="B289" s="71"/>
      <c r="C289" s="71"/>
      <c r="D289" s="71"/>
      <c r="E289" s="71"/>
      <c r="F289" s="71"/>
      <c r="G289" s="71"/>
      <c r="H289" s="71"/>
      <c r="I289" s="72"/>
      <c r="J289" s="72"/>
      <c r="K289" s="72"/>
      <c r="L289" s="72"/>
      <c r="M289" s="72"/>
      <c r="N289" s="72"/>
      <c r="O289" s="73" t="str">
        <f t="shared" si="12"/>
        <v/>
      </c>
      <c r="P289" s="43" t="str">
        <f t="shared" si="13"/>
        <v/>
      </c>
      <c r="Q289" s="74" t="str">
        <f>IF(C289="","",IFERROR(ROUND(C289/VLOOKUP($D$1,LaborRates!$A:$D,4,0),2),""))</f>
        <v/>
      </c>
      <c r="R289" s="75" t="str">
        <f>IF(C289="","",IFERROR(VLOOKUP($D$1,LaborRates!$A:$D,3,0)-10,""))</f>
        <v/>
      </c>
      <c r="S289" s="43" t="str">
        <f t="shared" si="14"/>
        <v/>
      </c>
    </row>
    <row r="290" spans="2:19" ht="15" customHeight="1" x14ac:dyDescent="0.25">
      <c r="B290" s="71"/>
      <c r="C290" s="71"/>
      <c r="D290" s="71"/>
      <c r="E290" s="71"/>
      <c r="F290" s="71"/>
      <c r="G290" s="71"/>
      <c r="H290" s="71"/>
      <c r="I290" s="72"/>
      <c r="J290" s="72"/>
      <c r="K290" s="72"/>
      <c r="L290" s="72"/>
      <c r="M290" s="72"/>
      <c r="N290" s="72"/>
      <c r="O290" s="73" t="str">
        <f t="shared" si="12"/>
        <v/>
      </c>
      <c r="P290" s="43" t="str">
        <f t="shared" si="13"/>
        <v/>
      </c>
      <c r="Q290" s="74" t="str">
        <f>IF(C290="","",IFERROR(ROUND(C290/VLOOKUP($D$1,LaborRates!$A:$D,4,0),2),""))</f>
        <v/>
      </c>
      <c r="R290" s="75" t="str">
        <f>IF(C290="","",IFERROR(VLOOKUP($D$1,LaborRates!$A:$D,3,0)-10,""))</f>
        <v/>
      </c>
      <c r="S290" s="43" t="str">
        <f t="shared" si="14"/>
        <v/>
      </c>
    </row>
    <row r="291" spans="2:19" ht="15" customHeight="1" x14ac:dyDescent="0.25">
      <c r="B291" s="71"/>
      <c r="C291" s="71"/>
      <c r="D291" s="71"/>
      <c r="E291" s="71"/>
      <c r="F291" s="71"/>
      <c r="G291" s="71"/>
      <c r="H291" s="71"/>
      <c r="I291" s="72"/>
      <c r="J291" s="72"/>
      <c r="K291" s="72"/>
      <c r="L291" s="72"/>
      <c r="M291" s="72"/>
      <c r="N291" s="72"/>
      <c r="O291" s="73" t="str">
        <f t="shared" si="12"/>
        <v/>
      </c>
      <c r="P291" s="43" t="str">
        <f t="shared" si="13"/>
        <v/>
      </c>
      <c r="Q291" s="74" t="str">
        <f>IF(C291="","",IFERROR(ROUND(C291/VLOOKUP($D$1,LaborRates!$A:$D,4,0),2),""))</f>
        <v/>
      </c>
      <c r="R291" s="75" t="str">
        <f>IF(C291="","",IFERROR(VLOOKUP($D$1,LaborRates!$A:$D,3,0)-10,""))</f>
        <v/>
      </c>
      <c r="S291" s="43" t="str">
        <f t="shared" si="14"/>
        <v/>
      </c>
    </row>
    <row r="292" spans="2:19" ht="15" customHeight="1" x14ac:dyDescent="0.25">
      <c r="B292" s="71"/>
      <c r="C292" s="71"/>
      <c r="D292" s="71"/>
      <c r="E292" s="71"/>
      <c r="F292" s="71"/>
      <c r="G292" s="71"/>
      <c r="H292" s="71"/>
      <c r="I292" s="72"/>
      <c r="J292" s="72"/>
      <c r="K292" s="72"/>
      <c r="L292" s="72"/>
      <c r="M292" s="72"/>
      <c r="N292" s="72"/>
      <c r="O292" s="73" t="str">
        <f t="shared" si="12"/>
        <v/>
      </c>
      <c r="P292" s="43" t="str">
        <f t="shared" si="13"/>
        <v/>
      </c>
      <c r="Q292" s="74" t="str">
        <f>IF(C292="","",IFERROR(ROUND(C292/VLOOKUP($D$1,LaborRates!$A:$D,4,0),2),""))</f>
        <v/>
      </c>
      <c r="R292" s="75" t="str">
        <f>IF(C292="","",IFERROR(VLOOKUP($D$1,LaborRates!$A:$D,3,0)-10,""))</f>
        <v/>
      </c>
      <c r="S292" s="43" t="str">
        <f t="shared" si="14"/>
        <v/>
      </c>
    </row>
    <row r="293" spans="2:19" ht="15" customHeight="1" x14ac:dyDescent="0.25">
      <c r="B293" s="71"/>
      <c r="C293" s="71"/>
      <c r="D293" s="71"/>
      <c r="E293" s="71"/>
      <c r="F293" s="71"/>
      <c r="G293" s="71"/>
      <c r="H293" s="71"/>
      <c r="I293" s="72"/>
      <c r="J293" s="72"/>
      <c r="K293" s="72"/>
      <c r="L293" s="72"/>
      <c r="M293" s="72"/>
      <c r="N293" s="72"/>
      <c r="O293" s="73" t="str">
        <f t="shared" si="12"/>
        <v/>
      </c>
      <c r="P293" s="43" t="str">
        <f t="shared" si="13"/>
        <v/>
      </c>
      <c r="Q293" s="74" t="str">
        <f>IF(C293="","",IFERROR(ROUND(C293/VLOOKUP($D$1,LaborRates!$A:$D,4,0),2),""))</f>
        <v/>
      </c>
      <c r="R293" s="75" t="str">
        <f>IF(C293="","",IFERROR(VLOOKUP($D$1,LaborRates!$A:$D,3,0)-10,""))</f>
        <v/>
      </c>
      <c r="S293" s="43" t="str">
        <f t="shared" si="14"/>
        <v/>
      </c>
    </row>
    <row r="294" spans="2:19" ht="15" customHeight="1" x14ac:dyDescent="0.25">
      <c r="B294" s="71"/>
      <c r="C294" s="71"/>
      <c r="D294" s="71"/>
      <c r="E294" s="71"/>
      <c r="F294" s="71"/>
      <c r="G294" s="71"/>
      <c r="H294" s="71"/>
      <c r="I294" s="72"/>
      <c r="J294" s="72"/>
      <c r="K294" s="72"/>
      <c r="L294" s="72"/>
      <c r="M294" s="72"/>
      <c r="N294" s="72"/>
      <c r="O294" s="73" t="str">
        <f t="shared" si="12"/>
        <v/>
      </c>
      <c r="P294" s="43" t="str">
        <f t="shared" si="13"/>
        <v/>
      </c>
      <c r="Q294" s="74" t="str">
        <f>IF(C294="","",IFERROR(ROUND(C294/VLOOKUP($D$1,LaborRates!$A:$D,4,0),2),""))</f>
        <v/>
      </c>
      <c r="R294" s="75" t="str">
        <f>IF(C294="","",IFERROR(VLOOKUP($D$1,LaborRates!$A:$D,3,0)-10,""))</f>
        <v/>
      </c>
      <c r="S294" s="43" t="str">
        <f t="shared" si="14"/>
        <v/>
      </c>
    </row>
    <row r="295" spans="2:19" ht="15" customHeight="1" x14ac:dyDescent="0.25">
      <c r="B295" s="71"/>
      <c r="C295" s="71"/>
      <c r="D295" s="71"/>
      <c r="E295" s="71"/>
      <c r="F295" s="71"/>
      <c r="G295" s="71"/>
      <c r="H295" s="71"/>
      <c r="I295" s="72"/>
      <c r="J295" s="72"/>
      <c r="K295" s="72"/>
      <c r="L295" s="72"/>
      <c r="M295" s="72"/>
      <c r="N295" s="72"/>
      <c r="O295" s="73" t="str">
        <f t="shared" si="12"/>
        <v/>
      </c>
      <c r="P295" s="43" t="str">
        <f t="shared" si="13"/>
        <v/>
      </c>
      <c r="Q295" s="74" t="str">
        <f>IF(C295="","",IFERROR(ROUND(C295/VLOOKUP($D$1,LaborRates!$A:$D,4,0),2),""))</f>
        <v/>
      </c>
      <c r="R295" s="75" t="str">
        <f>IF(C295="","",IFERROR(VLOOKUP($D$1,LaborRates!$A:$D,3,0)-10,""))</f>
        <v/>
      </c>
      <c r="S295" s="43" t="str">
        <f t="shared" si="14"/>
        <v/>
      </c>
    </row>
    <row r="296" spans="2:19" ht="15" customHeight="1" x14ac:dyDescent="0.25">
      <c r="B296" s="71"/>
      <c r="C296" s="71"/>
      <c r="D296" s="71"/>
      <c r="E296" s="71"/>
      <c r="F296" s="71"/>
      <c r="G296" s="71"/>
      <c r="H296" s="71"/>
      <c r="I296" s="72"/>
      <c r="J296" s="72"/>
      <c r="K296" s="72"/>
      <c r="L296" s="72"/>
      <c r="M296" s="72"/>
      <c r="N296" s="72"/>
      <c r="O296" s="73" t="str">
        <f t="shared" si="12"/>
        <v/>
      </c>
      <c r="P296" s="43" t="str">
        <f t="shared" si="13"/>
        <v/>
      </c>
      <c r="Q296" s="74" t="str">
        <f>IF(C296="","",IFERROR(ROUND(C296/VLOOKUP($D$1,LaborRates!$A:$D,4,0),2),""))</f>
        <v/>
      </c>
      <c r="R296" s="75" t="str">
        <f>IF(C296="","",IFERROR(VLOOKUP($D$1,LaborRates!$A:$D,3,0)-10,""))</f>
        <v/>
      </c>
      <c r="S296" s="43" t="str">
        <f t="shared" si="14"/>
        <v/>
      </c>
    </row>
    <row r="297" spans="2:19" ht="15" customHeight="1" x14ac:dyDescent="0.25">
      <c r="B297" s="71"/>
      <c r="C297" s="71"/>
      <c r="D297" s="71"/>
      <c r="E297" s="71"/>
      <c r="F297" s="71"/>
      <c r="G297" s="71"/>
      <c r="H297" s="71"/>
      <c r="I297" s="72"/>
      <c r="J297" s="72"/>
      <c r="K297" s="72"/>
      <c r="L297" s="72"/>
      <c r="M297" s="72"/>
      <c r="N297" s="72"/>
      <c r="O297" s="73" t="str">
        <f t="shared" si="12"/>
        <v/>
      </c>
      <c r="P297" s="43" t="str">
        <f t="shared" si="13"/>
        <v/>
      </c>
      <c r="Q297" s="74" t="str">
        <f>IF(C297="","",IFERROR(ROUND(C297/VLOOKUP($D$1,LaborRates!$A:$D,4,0),2),""))</f>
        <v/>
      </c>
      <c r="R297" s="75" t="str">
        <f>IF(C297="","",IFERROR(VLOOKUP($D$1,LaborRates!$A:$D,3,0)-10,""))</f>
        <v/>
      </c>
      <c r="S297" s="43" t="str">
        <f t="shared" si="14"/>
        <v/>
      </c>
    </row>
    <row r="298" spans="2:19" ht="15" customHeight="1" x14ac:dyDescent="0.25">
      <c r="B298" s="71"/>
      <c r="C298" s="71"/>
      <c r="D298" s="71"/>
      <c r="E298" s="71"/>
      <c r="F298" s="71"/>
      <c r="G298" s="71"/>
      <c r="H298" s="71"/>
      <c r="I298" s="72"/>
      <c r="J298" s="72"/>
      <c r="K298" s="72"/>
      <c r="L298" s="72"/>
      <c r="M298" s="72"/>
      <c r="N298" s="72"/>
      <c r="O298" s="73" t="str">
        <f t="shared" si="12"/>
        <v/>
      </c>
      <c r="P298" s="43" t="str">
        <f t="shared" si="13"/>
        <v/>
      </c>
      <c r="Q298" s="74" t="str">
        <f>IF(C298="","",IFERROR(ROUND(C298/VLOOKUP($D$1,LaborRates!$A:$D,4,0),2),""))</f>
        <v/>
      </c>
      <c r="R298" s="75" t="str">
        <f>IF(C298="","",IFERROR(VLOOKUP($D$1,LaborRates!$A:$D,3,0)-10,""))</f>
        <v/>
      </c>
      <c r="S298" s="43" t="str">
        <f t="shared" si="14"/>
        <v/>
      </c>
    </row>
    <row r="299" spans="2:19" ht="15" customHeight="1" x14ac:dyDescent="0.25">
      <c r="B299" s="71"/>
      <c r="C299" s="71"/>
      <c r="D299" s="71"/>
      <c r="E299" s="71"/>
      <c r="F299" s="71"/>
      <c r="G299" s="71"/>
      <c r="H299" s="71"/>
      <c r="I299" s="72"/>
      <c r="J299" s="72"/>
      <c r="K299" s="72"/>
      <c r="L299" s="72"/>
      <c r="M299" s="72"/>
      <c r="N299" s="72"/>
      <c r="O299" s="73" t="str">
        <f t="shared" si="12"/>
        <v/>
      </c>
      <c r="P299" s="43" t="str">
        <f t="shared" si="13"/>
        <v/>
      </c>
      <c r="Q299" s="74" t="str">
        <f>IF(C299="","",IFERROR(ROUND(C299/VLOOKUP($D$1,LaborRates!$A:$D,4,0),2),""))</f>
        <v/>
      </c>
      <c r="R299" s="75" t="str">
        <f>IF(C299="","",IFERROR(VLOOKUP($D$1,LaborRates!$A:$D,3,0)-10,""))</f>
        <v/>
      </c>
      <c r="S299" s="43" t="str">
        <f t="shared" si="14"/>
        <v/>
      </c>
    </row>
    <row r="300" spans="2:19" ht="15" customHeight="1" x14ac:dyDescent="0.25">
      <c r="B300" s="71"/>
      <c r="C300" s="71"/>
      <c r="D300" s="71"/>
      <c r="E300" s="71"/>
      <c r="F300" s="71"/>
      <c r="G300" s="71"/>
      <c r="H300" s="71"/>
      <c r="I300" s="72"/>
      <c r="J300" s="72"/>
      <c r="K300" s="72"/>
      <c r="L300" s="72"/>
      <c r="M300" s="72"/>
      <c r="N300" s="72"/>
      <c r="O300" s="73" t="str">
        <f t="shared" si="12"/>
        <v/>
      </c>
      <c r="P300" s="43" t="str">
        <f t="shared" si="13"/>
        <v/>
      </c>
      <c r="Q300" s="74" t="str">
        <f>IF(C300="","",IFERROR(ROUND(C300/VLOOKUP($D$1,LaborRates!$A:$D,4,0),2),""))</f>
        <v/>
      </c>
      <c r="R300" s="75" t="str">
        <f>IF(C300="","",IFERROR(VLOOKUP($D$1,LaborRates!$A:$D,3,0)-10,""))</f>
        <v/>
      </c>
      <c r="S300" s="43" t="str">
        <f t="shared" si="14"/>
        <v/>
      </c>
    </row>
    <row r="301" spans="2:19" ht="15" customHeight="1" x14ac:dyDescent="0.25">
      <c r="B301" s="71"/>
      <c r="C301" s="71"/>
      <c r="D301" s="71"/>
      <c r="E301" s="71"/>
      <c r="F301" s="71"/>
      <c r="G301" s="71"/>
      <c r="H301" s="71"/>
      <c r="I301" s="72"/>
      <c r="J301" s="72"/>
      <c r="K301" s="72"/>
      <c r="L301" s="72"/>
      <c r="M301" s="72"/>
      <c r="N301" s="72"/>
      <c r="O301" s="73" t="str">
        <f t="shared" si="12"/>
        <v/>
      </c>
      <c r="P301" s="43" t="str">
        <f t="shared" si="13"/>
        <v/>
      </c>
      <c r="Q301" s="74" t="str">
        <f>IF(C301="","",IFERROR(ROUND(C301/VLOOKUP($D$1,LaborRates!$A:$D,4,0),2),""))</f>
        <v/>
      </c>
      <c r="R301" s="75" t="str">
        <f>IF(C301="","",IFERROR(VLOOKUP($D$1,LaborRates!$A:$D,3,0)-10,""))</f>
        <v/>
      </c>
      <c r="S301" s="43" t="str">
        <f t="shared" si="14"/>
        <v/>
      </c>
    </row>
    <row r="302" spans="2:19" ht="15" customHeight="1" x14ac:dyDescent="0.25">
      <c r="B302" s="71"/>
      <c r="C302" s="71"/>
      <c r="D302" s="71"/>
      <c r="E302" s="71"/>
      <c r="F302" s="71"/>
      <c r="G302" s="71"/>
      <c r="H302" s="71"/>
      <c r="I302" s="72"/>
      <c r="J302" s="72"/>
      <c r="K302" s="72"/>
      <c r="L302" s="72"/>
      <c r="M302" s="72"/>
      <c r="N302" s="72"/>
      <c r="O302" s="73" t="str">
        <f t="shared" si="12"/>
        <v/>
      </c>
      <c r="P302" s="43" t="str">
        <f t="shared" si="13"/>
        <v/>
      </c>
      <c r="Q302" s="74" t="str">
        <f>IF(C302="","",IFERROR(ROUND(C302/VLOOKUP($D$1,LaborRates!$A:$D,4,0),2),""))</f>
        <v/>
      </c>
      <c r="R302" s="75" t="str">
        <f>IF(C302="","",IFERROR(VLOOKUP($D$1,LaborRates!$A:$D,3,0)-10,""))</f>
        <v/>
      </c>
      <c r="S302" s="43" t="str">
        <f t="shared" si="14"/>
        <v/>
      </c>
    </row>
    <row r="303" spans="2:19" ht="15" customHeight="1" x14ac:dyDescent="0.25">
      <c r="B303" s="71"/>
      <c r="C303" s="71"/>
      <c r="D303" s="71"/>
      <c r="E303" s="71"/>
      <c r="F303" s="71"/>
      <c r="G303" s="71"/>
      <c r="H303" s="71"/>
      <c r="I303" s="72"/>
      <c r="J303" s="72"/>
      <c r="K303" s="72"/>
      <c r="L303" s="72"/>
      <c r="M303" s="72"/>
      <c r="N303" s="72"/>
      <c r="O303" s="73" t="str">
        <f t="shared" si="12"/>
        <v/>
      </c>
      <c r="P303" s="43" t="str">
        <f t="shared" si="13"/>
        <v/>
      </c>
      <c r="Q303" s="74" t="str">
        <f>IF(C303="","",IFERROR(ROUND(C303/VLOOKUP($D$1,LaborRates!$A:$D,4,0),2),""))</f>
        <v/>
      </c>
      <c r="R303" s="75" t="str">
        <f>IF(C303="","",IFERROR(VLOOKUP($D$1,LaborRates!$A:$D,3,0)-10,""))</f>
        <v/>
      </c>
      <c r="S303" s="43" t="str">
        <f t="shared" si="14"/>
        <v/>
      </c>
    </row>
    <row r="304" spans="2:19" ht="15" customHeight="1" x14ac:dyDescent="0.25">
      <c r="B304" s="71"/>
      <c r="C304" s="71"/>
      <c r="D304" s="71"/>
      <c r="E304" s="71"/>
      <c r="F304" s="71"/>
      <c r="G304" s="71"/>
      <c r="H304" s="71"/>
      <c r="I304" s="72"/>
      <c r="J304" s="72"/>
      <c r="K304" s="72"/>
      <c r="L304" s="72"/>
      <c r="M304" s="72"/>
      <c r="N304" s="72"/>
      <c r="O304" s="73" t="str">
        <f t="shared" si="12"/>
        <v/>
      </c>
      <c r="P304" s="43" t="str">
        <f t="shared" si="13"/>
        <v/>
      </c>
      <c r="Q304" s="74" t="str">
        <f>IF(C304="","",IFERROR(ROUND(C304/VLOOKUP($D$1,LaborRates!$A:$D,4,0),2),""))</f>
        <v/>
      </c>
      <c r="R304" s="75" t="str">
        <f>IF(C304="","",IFERROR(VLOOKUP($D$1,LaborRates!$A:$D,3,0)-10,""))</f>
        <v/>
      </c>
      <c r="S304" s="43" t="str">
        <f t="shared" si="14"/>
        <v/>
      </c>
    </row>
    <row r="305" spans="2:19" ht="15" customHeight="1" x14ac:dyDescent="0.25">
      <c r="B305" s="71"/>
      <c r="C305" s="71"/>
      <c r="D305" s="71"/>
      <c r="E305" s="71"/>
      <c r="F305" s="71"/>
      <c r="G305" s="71"/>
      <c r="H305" s="71"/>
      <c r="I305" s="72"/>
      <c r="J305" s="72"/>
      <c r="K305" s="72"/>
      <c r="L305" s="72"/>
      <c r="M305" s="72"/>
      <c r="N305" s="72"/>
      <c r="O305" s="73" t="str">
        <f t="shared" si="12"/>
        <v/>
      </c>
      <c r="P305" s="43" t="str">
        <f t="shared" si="13"/>
        <v/>
      </c>
      <c r="Q305" s="74" t="str">
        <f>IF(C305="","",IFERROR(ROUND(C305/VLOOKUP($D$1,LaborRates!$A:$D,4,0),2),""))</f>
        <v/>
      </c>
      <c r="R305" s="75" t="str">
        <f>IF(C305="","",IFERROR(VLOOKUP($D$1,LaborRates!$A:$D,3,0)-10,""))</f>
        <v/>
      </c>
      <c r="S305" s="43" t="str">
        <f t="shared" si="14"/>
        <v/>
      </c>
    </row>
    <row r="306" spans="2:19" ht="15" customHeight="1" x14ac:dyDescent="0.25">
      <c r="B306" s="71"/>
      <c r="C306" s="71"/>
      <c r="D306" s="71"/>
      <c r="E306" s="71"/>
      <c r="F306" s="71"/>
      <c r="G306" s="71"/>
      <c r="H306" s="71"/>
      <c r="I306" s="72"/>
      <c r="J306" s="72"/>
      <c r="K306" s="72"/>
      <c r="L306" s="72"/>
      <c r="M306" s="72"/>
      <c r="N306" s="72"/>
      <c r="O306" s="73" t="str">
        <f t="shared" si="12"/>
        <v/>
      </c>
      <c r="P306" s="43" t="str">
        <f t="shared" si="13"/>
        <v/>
      </c>
      <c r="Q306" s="74" t="str">
        <f>IF(C306="","",IFERROR(ROUND(C306/VLOOKUP($D$1,LaborRates!$A:$D,4,0),2),""))</f>
        <v/>
      </c>
      <c r="R306" s="75" t="str">
        <f>IF(C306="","",IFERROR(VLOOKUP($D$1,LaborRates!$A:$D,3,0)-10,""))</f>
        <v/>
      </c>
      <c r="S306" s="43" t="str">
        <f t="shared" si="14"/>
        <v/>
      </c>
    </row>
    <row r="307" spans="2:19" ht="15" customHeight="1" x14ac:dyDescent="0.25">
      <c r="B307" s="71"/>
      <c r="C307" s="71"/>
      <c r="D307" s="71"/>
      <c r="E307" s="71"/>
      <c r="F307" s="71"/>
      <c r="G307" s="71"/>
      <c r="H307" s="71"/>
      <c r="I307" s="72"/>
      <c r="J307" s="72"/>
      <c r="K307" s="72"/>
      <c r="L307" s="72"/>
      <c r="M307" s="72"/>
      <c r="N307" s="72"/>
      <c r="O307" s="73" t="str">
        <f t="shared" si="12"/>
        <v/>
      </c>
      <c r="P307" s="43" t="str">
        <f t="shared" si="13"/>
        <v/>
      </c>
      <c r="Q307" s="74" t="str">
        <f>IF(C307="","",IFERROR(ROUND(C307/VLOOKUP($D$1,LaborRates!$A:$D,4,0),2),""))</f>
        <v/>
      </c>
      <c r="R307" s="75" t="str">
        <f>IF(C307="","",IFERROR(VLOOKUP($D$1,LaborRates!$A:$D,3,0)-10,""))</f>
        <v/>
      </c>
      <c r="S307" s="43" t="str">
        <f t="shared" si="14"/>
        <v/>
      </c>
    </row>
    <row r="308" spans="2:19" s="76" customFormat="1" ht="15" customHeight="1" x14ac:dyDescent="0.25"/>
    <row r="309" spans="2:19" s="76" customFormat="1" ht="15" customHeight="1" x14ac:dyDescent="0.25"/>
    <row r="310" spans="2:19" s="76" customFormat="1" ht="15" customHeight="1" x14ac:dyDescent="0.25"/>
    <row r="311" spans="2:19" s="76" customFormat="1" ht="15" customHeight="1" x14ac:dyDescent="0.25"/>
    <row r="312" spans="2:19" s="76" customFormat="1" ht="15" customHeight="1" x14ac:dyDescent="0.25"/>
    <row r="313" spans="2:19" s="76" customFormat="1" ht="15" customHeight="1" x14ac:dyDescent="0.25"/>
    <row r="314" spans="2:19" s="76" customFormat="1" ht="15" customHeight="1" x14ac:dyDescent="0.25"/>
    <row r="315" spans="2:19" s="76" customFormat="1" ht="15" customHeight="1" x14ac:dyDescent="0.25"/>
    <row r="316" spans="2:19" s="76" customFormat="1" ht="15" customHeight="1" x14ac:dyDescent="0.25"/>
    <row r="317" spans="2:19" s="76" customFormat="1" ht="15" customHeight="1" x14ac:dyDescent="0.25"/>
    <row r="318" spans="2:19" s="76" customFormat="1" ht="15" customHeight="1" x14ac:dyDescent="0.25"/>
    <row r="319" spans="2:19" s="76" customFormat="1" ht="15" customHeight="1" x14ac:dyDescent="0.25"/>
    <row r="320" spans="2:19" s="76" customFormat="1" ht="15" customHeight="1" x14ac:dyDescent="0.25"/>
    <row r="321" s="76" customFormat="1" ht="15" customHeight="1" x14ac:dyDescent="0.25"/>
    <row r="322" s="76" customFormat="1" ht="15" customHeight="1" x14ac:dyDescent="0.25"/>
    <row r="323" s="76" customFormat="1" ht="15" customHeight="1" x14ac:dyDescent="0.25"/>
    <row r="324" s="76" customFormat="1" ht="15" customHeight="1" x14ac:dyDescent="0.25"/>
    <row r="325" s="76" customFormat="1" ht="15" customHeight="1" x14ac:dyDescent="0.25"/>
    <row r="326" s="76" customFormat="1" ht="15" customHeight="1" x14ac:dyDescent="0.25"/>
    <row r="327" s="76" customFormat="1" ht="15" customHeight="1" x14ac:dyDescent="0.25"/>
    <row r="328" s="76" customFormat="1" ht="15" customHeight="1" x14ac:dyDescent="0.25"/>
    <row r="329" s="76" customFormat="1" ht="15" customHeight="1" x14ac:dyDescent="0.25"/>
    <row r="330" s="76" customFormat="1" ht="15" customHeight="1" x14ac:dyDescent="0.25"/>
    <row r="331" s="76" customFormat="1" ht="15" customHeight="1" x14ac:dyDescent="0.25"/>
    <row r="332" s="76" customFormat="1" ht="15" customHeight="1" x14ac:dyDescent="0.25"/>
    <row r="333" s="76" customFormat="1" ht="15" customHeight="1" x14ac:dyDescent="0.25"/>
    <row r="334" s="76" customFormat="1" ht="15" customHeight="1" x14ac:dyDescent="0.25"/>
    <row r="335" s="76" customFormat="1" ht="15" customHeight="1" x14ac:dyDescent="0.25"/>
    <row r="336" s="76" customFormat="1" ht="15" customHeight="1" x14ac:dyDescent="0.25"/>
    <row r="337" s="76" customFormat="1" ht="15" customHeight="1" x14ac:dyDescent="0.25"/>
    <row r="338" s="76" customFormat="1" ht="15" customHeight="1" x14ac:dyDescent="0.25"/>
    <row r="339" s="76" customFormat="1" ht="15" customHeight="1" x14ac:dyDescent="0.25"/>
    <row r="340" s="76" customFormat="1" ht="15" customHeight="1" x14ac:dyDescent="0.25"/>
    <row r="341" s="76" customFormat="1" ht="15" customHeight="1" x14ac:dyDescent="0.25"/>
    <row r="342" s="76" customFormat="1" ht="15" customHeight="1" x14ac:dyDescent="0.25"/>
    <row r="343" s="76" customFormat="1" ht="15" customHeight="1" x14ac:dyDescent="0.25"/>
    <row r="344" s="76" customFormat="1" ht="15" customHeight="1" x14ac:dyDescent="0.25"/>
    <row r="345" s="76" customFormat="1" ht="15" customHeight="1" x14ac:dyDescent="0.25"/>
    <row r="346" s="76" customFormat="1" ht="15" customHeight="1" x14ac:dyDescent="0.25"/>
    <row r="347" s="76" customFormat="1" ht="15" customHeight="1" x14ac:dyDescent="0.25"/>
    <row r="348" s="76" customFormat="1" ht="15" customHeight="1" x14ac:dyDescent="0.25"/>
    <row r="349" s="76" customFormat="1" ht="15" customHeight="1" x14ac:dyDescent="0.25"/>
    <row r="350" s="76" customFormat="1" ht="15" customHeight="1" x14ac:dyDescent="0.25"/>
    <row r="351" s="76" customFormat="1" ht="15" customHeight="1" x14ac:dyDescent="0.25"/>
    <row r="352" s="76" customFormat="1" ht="15" customHeight="1" x14ac:dyDescent="0.25"/>
    <row r="353" s="76" customFormat="1" ht="15" customHeight="1" x14ac:dyDescent="0.25"/>
    <row r="354" s="76" customFormat="1" ht="15" customHeight="1" x14ac:dyDescent="0.25"/>
    <row r="355" s="76" customFormat="1" ht="15" customHeight="1" x14ac:dyDescent="0.25"/>
    <row r="356" s="76" customFormat="1" ht="15" customHeight="1" x14ac:dyDescent="0.25"/>
    <row r="357" s="76" customFormat="1" ht="15" customHeight="1" x14ac:dyDescent="0.25"/>
    <row r="358" s="76" customFormat="1" ht="15" customHeight="1" x14ac:dyDescent="0.25"/>
    <row r="359" s="76" customFormat="1" ht="15" customHeight="1" x14ac:dyDescent="0.25"/>
    <row r="360" s="76" customFormat="1" ht="15" customHeight="1" x14ac:dyDescent="0.25"/>
    <row r="361" s="76" customFormat="1" ht="15" customHeight="1" x14ac:dyDescent="0.25"/>
    <row r="362" s="76" customFormat="1" ht="15" customHeight="1" x14ac:dyDescent="0.25"/>
    <row r="363" s="76" customFormat="1" ht="15" customHeight="1" x14ac:dyDescent="0.25"/>
    <row r="364" s="76" customFormat="1" ht="15" customHeight="1" x14ac:dyDescent="0.25"/>
    <row r="365" s="76" customFormat="1" ht="15" customHeight="1" x14ac:dyDescent="0.25"/>
    <row r="366" s="76" customFormat="1" ht="15" customHeight="1" x14ac:dyDescent="0.25"/>
    <row r="367" s="76" customFormat="1" ht="15" customHeight="1" x14ac:dyDescent="0.25"/>
    <row r="368" s="76" customFormat="1" ht="15" customHeight="1" x14ac:dyDescent="0.25"/>
    <row r="369" s="76" customFormat="1" ht="15" customHeight="1" x14ac:dyDescent="0.25"/>
    <row r="370" s="76" customFormat="1" ht="15" customHeight="1" x14ac:dyDescent="0.25"/>
    <row r="371" s="76" customFormat="1" ht="15" customHeight="1" x14ac:dyDescent="0.25"/>
    <row r="372" s="76" customFormat="1" ht="15" customHeight="1" x14ac:dyDescent="0.25"/>
    <row r="373" s="76" customFormat="1" ht="15" customHeight="1" x14ac:dyDescent="0.25"/>
    <row r="374" s="76" customFormat="1" ht="15" customHeight="1" x14ac:dyDescent="0.25"/>
    <row r="375" s="76" customFormat="1" ht="15" customHeight="1" x14ac:dyDescent="0.25"/>
    <row r="376" s="76" customFormat="1" ht="15" customHeight="1" x14ac:dyDescent="0.25"/>
    <row r="377" s="76" customFormat="1" ht="15" customHeight="1" x14ac:dyDescent="0.25"/>
    <row r="378" s="76" customFormat="1" ht="15" customHeight="1" x14ac:dyDescent="0.25"/>
    <row r="379" s="76" customFormat="1" ht="15" customHeight="1" x14ac:dyDescent="0.25"/>
    <row r="380" s="76" customFormat="1" ht="15" customHeight="1" x14ac:dyDescent="0.25"/>
    <row r="381" s="76" customFormat="1" ht="15" customHeight="1" x14ac:dyDescent="0.25"/>
    <row r="382" s="76" customFormat="1" ht="15" customHeight="1" x14ac:dyDescent="0.25"/>
    <row r="383" s="76" customFormat="1" ht="15" customHeight="1" x14ac:dyDescent="0.25"/>
    <row r="384" s="76" customFormat="1" ht="15" customHeight="1" x14ac:dyDescent="0.25"/>
    <row r="385" s="76" customFormat="1" ht="15" customHeight="1" x14ac:dyDescent="0.25"/>
    <row r="386" s="76" customFormat="1" ht="15" customHeight="1" x14ac:dyDescent="0.25"/>
    <row r="387" s="76" customFormat="1" ht="15" customHeight="1" x14ac:dyDescent="0.25"/>
    <row r="388" s="76" customFormat="1" ht="15" customHeight="1" x14ac:dyDescent="0.25"/>
    <row r="389" s="76" customFormat="1" ht="15" customHeight="1" x14ac:dyDescent="0.25"/>
    <row r="390" s="76" customFormat="1" ht="15" customHeight="1" x14ac:dyDescent="0.25"/>
    <row r="391" s="76" customFormat="1" ht="15" customHeight="1" x14ac:dyDescent="0.25"/>
    <row r="392" s="76" customFormat="1" ht="15" customHeight="1" x14ac:dyDescent="0.25"/>
    <row r="393" s="76" customFormat="1" ht="15" customHeight="1" x14ac:dyDescent="0.25"/>
    <row r="394" s="76" customFormat="1" ht="15" customHeight="1" x14ac:dyDescent="0.25"/>
    <row r="395" s="76" customFormat="1" ht="15" customHeight="1" x14ac:dyDescent="0.25"/>
    <row r="396" s="76" customFormat="1" ht="15" customHeight="1" x14ac:dyDescent="0.25"/>
    <row r="397" s="76" customFormat="1" ht="15" customHeight="1" x14ac:dyDescent="0.25"/>
    <row r="398" s="76" customFormat="1" ht="15" customHeight="1" x14ac:dyDescent="0.25"/>
    <row r="399" s="76" customFormat="1" ht="15" customHeight="1" x14ac:dyDescent="0.25"/>
    <row r="400" s="76" customFormat="1" ht="15" customHeight="1" x14ac:dyDescent="0.25"/>
    <row r="401" s="76" customFormat="1" ht="15" customHeight="1" x14ac:dyDescent="0.25"/>
    <row r="402" s="76" customFormat="1" ht="15" customHeight="1" x14ac:dyDescent="0.25"/>
    <row r="403" s="76" customFormat="1" ht="15" customHeight="1" x14ac:dyDescent="0.25"/>
    <row r="404" s="76" customFormat="1" ht="15" customHeight="1" x14ac:dyDescent="0.25"/>
    <row r="405" s="76" customFormat="1" ht="15" customHeight="1" x14ac:dyDescent="0.25"/>
    <row r="406" s="76" customFormat="1" ht="15" customHeight="1" x14ac:dyDescent="0.25"/>
    <row r="407" s="76" customFormat="1" ht="15" customHeight="1" x14ac:dyDescent="0.25"/>
    <row r="408" s="76" customFormat="1" ht="15" customHeight="1" x14ac:dyDescent="0.25"/>
    <row r="409" s="76" customFormat="1" ht="15" customHeight="1" x14ac:dyDescent="0.25"/>
    <row r="410" s="76" customFormat="1" ht="15" customHeight="1" x14ac:dyDescent="0.25"/>
    <row r="411" s="76" customFormat="1" ht="15" customHeight="1" x14ac:dyDescent="0.25"/>
    <row r="412" s="76" customFormat="1" ht="15" customHeight="1" x14ac:dyDescent="0.25"/>
    <row r="413" s="76" customFormat="1" ht="15" customHeight="1" x14ac:dyDescent="0.25"/>
    <row r="414" s="76" customFormat="1" ht="15" customHeight="1" x14ac:dyDescent="0.25"/>
    <row r="415" s="76" customFormat="1" ht="15" customHeight="1" x14ac:dyDescent="0.25"/>
    <row r="416" s="76" customFormat="1" ht="15" customHeight="1" x14ac:dyDescent="0.25"/>
    <row r="417" s="76" customFormat="1" ht="15" customHeight="1" x14ac:dyDescent="0.25"/>
    <row r="418" s="76" customFormat="1" ht="15" customHeight="1" x14ac:dyDescent="0.25"/>
    <row r="419" s="76" customFormat="1" ht="15" customHeight="1" x14ac:dyDescent="0.25"/>
    <row r="420" s="76" customFormat="1" ht="15" customHeight="1" x14ac:dyDescent="0.25"/>
    <row r="421" s="76" customFormat="1" ht="15" customHeight="1" x14ac:dyDescent="0.25"/>
    <row r="422" s="76" customFormat="1" ht="15" customHeight="1" x14ac:dyDescent="0.25"/>
    <row r="423" s="76" customFormat="1" ht="15" customHeight="1" x14ac:dyDescent="0.25"/>
    <row r="424" s="76" customFormat="1" ht="15" customHeight="1" x14ac:dyDescent="0.25"/>
    <row r="425" s="76" customFormat="1" ht="15" customHeight="1" x14ac:dyDescent="0.25"/>
    <row r="426" s="76" customFormat="1" ht="15" customHeight="1" x14ac:dyDescent="0.25"/>
    <row r="427" s="76" customFormat="1" ht="15" customHeight="1" x14ac:dyDescent="0.25"/>
    <row r="428" s="76" customFormat="1" ht="15" customHeight="1" x14ac:dyDescent="0.25"/>
    <row r="429" s="76" customFormat="1" ht="15" customHeight="1" x14ac:dyDescent="0.25"/>
    <row r="430" s="76" customFormat="1" ht="15" customHeight="1" x14ac:dyDescent="0.25"/>
    <row r="431" s="76" customFormat="1" ht="15" customHeight="1" x14ac:dyDescent="0.25"/>
    <row r="432" s="76" customFormat="1" ht="15" customHeight="1" x14ac:dyDescent="0.25"/>
    <row r="433" s="76" customFormat="1" ht="15" customHeight="1" x14ac:dyDescent="0.25"/>
    <row r="434" s="76" customFormat="1" ht="15" customHeight="1" x14ac:dyDescent="0.25"/>
    <row r="435" s="76" customFormat="1" ht="15" customHeight="1" x14ac:dyDescent="0.25"/>
    <row r="436" s="76" customFormat="1" ht="15" customHeight="1" x14ac:dyDescent="0.25"/>
    <row r="437" s="76" customFormat="1" ht="15" customHeight="1" x14ac:dyDescent="0.25"/>
    <row r="438" s="76" customFormat="1" ht="15" customHeight="1" x14ac:dyDescent="0.25"/>
    <row r="439" s="76" customFormat="1" ht="15" customHeight="1" x14ac:dyDescent="0.25"/>
    <row r="440" s="76" customFormat="1" ht="15" customHeight="1" x14ac:dyDescent="0.25"/>
    <row r="441" s="76" customFormat="1" ht="15" customHeight="1" x14ac:dyDescent="0.25"/>
    <row r="442" s="76" customFormat="1" ht="15" customHeight="1" x14ac:dyDescent="0.25"/>
    <row r="443" s="76" customFormat="1" ht="15" customHeight="1" x14ac:dyDescent="0.25"/>
    <row r="444" s="76" customFormat="1" ht="15" customHeight="1" x14ac:dyDescent="0.25"/>
    <row r="445" s="76" customFormat="1" ht="15" customHeight="1" x14ac:dyDescent="0.25"/>
    <row r="446" s="76" customFormat="1" ht="15" customHeight="1" x14ac:dyDescent="0.25"/>
    <row r="447" s="76" customFormat="1" ht="15" customHeight="1" x14ac:dyDescent="0.25"/>
    <row r="448" s="76" customFormat="1" ht="15" customHeight="1" x14ac:dyDescent="0.25"/>
    <row r="449" s="76" customFormat="1" ht="15" customHeight="1" x14ac:dyDescent="0.25"/>
    <row r="450" s="76" customFormat="1" ht="15" customHeight="1" x14ac:dyDescent="0.25"/>
    <row r="451" s="76" customFormat="1" ht="15" customHeight="1" x14ac:dyDescent="0.25"/>
    <row r="452" s="76" customFormat="1" ht="15" customHeight="1" x14ac:dyDescent="0.25"/>
    <row r="453" s="76" customFormat="1" ht="15" customHeight="1" x14ac:dyDescent="0.25"/>
    <row r="454" s="76" customFormat="1" ht="15" customHeight="1" x14ac:dyDescent="0.25"/>
    <row r="455" s="76" customFormat="1" ht="15" customHeight="1" x14ac:dyDescent="0.25"/>
    <row r="456" s="76" customFormat="1" ht="15" customHeight="1" x14ac:dyDescent="0.25"/>
    <row r="457" s="76" customFormat="1" ht="15" customHeight="1" x14ac:dyDescent="0.25"/>
    <row r="458" s="76" customFormat="1" ht="15" customHeight="1" x14ac:dyDescent="0.25"/>
    <row r="459" s="76" customFormat="1" ht="15" customHeight="1" x14ac:dyDescent="0.25"/>
    <row r="460" s="76" customFormat="1" ht="15" customHeight="1" x14ac:dyDescent="0.25"/>
    <row r="461" s="76" customFormat="1" ht="15" customHeight="1" x14ac:dyDescent="0.25"/>
    <row r="462" s="76" customFormat="1" ht="15" customHeight="1" x14ac:dyDescent="0.25"/>
    <row r="463" s="76" customFormat="1" ht="15" customHeight="1" x14ac:dyDescent="0.25"/>
    <row r="464" s="76" customFormat="1" ht="15" customHeight="1" x14ac:dyDescent="0.25"/>
    <row r="465" s="76" customFormat="1" ht="15" customHeight="1" x14ac:dyDescent="0.25"/>
    <row r="466" s="76" customFormat="1" ht="15" customHeight="1" x14ac:dyDescent="0.25"/>
    <row r="467" s="76" customFormat="1" ht="15" customHeight="1" x14ac:dyDescent="0.25"/>
    <row r="468" s="76" customFormat="1" ht="15" customHeight="1" x14ac:dyDescent="0.25"/>
    <row r="469" s="76" customFormat="1" ht="15" customHeight="1" x14ac:dyDescent="0.25"/>
    <row r="470" s="76" customFormat="1" ht="15" customHeight="1" x14ac:dyDescent="0.25"/>
    <row r="471" s="76" customFormat="1" ht="15" customHeight="1" x14ac:dyDescent="0.25"/>
    <row r="472" s="76" customFormat="1" ht="15" customHeight="1" x14ac:dyDescent="0.25"/>
    <row r="473" s="76" customFormat="1" ht="15" customHeight="1" x14ac:dyDescent="0.25"/>
    <row r="474" s="76" customFormat="1" ht="15" customHeight="1" x14ac:dyDescent="0.25"/>
    <row r="475" s="76" customFormat="1" ht="15" customHeight="1" x14ac:dyDescent="0.25"/>
    <row r="476" s="76" customFormat="1" ht="15" customHeight="1" x14ac:dyDescent="0.25"/>
    <row r="477" s="76" customFormat="1" ht="15" customHeight="1" x14ac:dyDescent="0.25"/>
    <row r="478" s="76" customFormat="1" ht="15" customHeight="1" x14ac:dyDescent="0.25"/>
    <row r="479" s="76" customFormat="1" ht="15" customHeight="1" x14ac:dyDescent="0.25"/>
    <row r="480" s="76" customFormat="1" ht="15" customHeight="1" x14ac:dyDescent="0.25"/>
    <row r="481" s="76" customFormat="1" ht="15" customHeight="1" x14ac:dyDescent="0.25"/>
    <row r="482" s="76" customFormat="1" ht="15" customHeight="1" x14ac:dyDescent="0.25"/>
    <row r="483" s="76" customFormat="1" ht="15" customHeight="1" x14ac:dyDescent="0.25"/>
    <row r="484" s="76" customFormat="1" ht="15" customHeight="1" x14ac:dyDescent="0.25"/>
    <row r="485" s="76" customFormat="1" ht="15" customHeight="1" x14ac:dyDescent="0.25"/>
    <row r="486" s="76" customFormat="1" ht="15" customHeight="1" x14ac:dyDescent="0.25"/>
    <row r="487" s="76" customFormat="1" ht="15" customHeight="1" x14ac:dyDescent="0.25"/>
    <row r="488" s="76" customFormat="1" ht="15" customHeight="1" x14ac:dyDescent="0.25"/>
    <row r="489" s="76" customFormat="1" ht="15" customHeight="1" x14ac:dyDescent="0.25"/>
    <row r="490" s="76" customFormat="1" ht="15" customHeight="1" x14ac:dyDescent="0.25"/>
    <row r="491" s="76" customFormat="1" ht="15" customHeight="1" x14ac:dyDescent="0.25"/>
    <row r="492" s="76" customFormat="1" ht="15" customHeight="1" x14ac:dyDescent="0.25"/>
    <row r="493" s="76" customFormat="1" ht="15" customHeight="1" x14ac:dyDescent="0.25"/>
    <row r="494" s="76" customFormat="1" ht="15" customHeight="1" x14ac:dyDescent="0.25"/>
    <row r="495" s="76" customFormat="1" ht="15" customHeight="1" x14ac:dyDescent="0.25"/>
    <row r="496" s="76" customFormat="1" ht="15" customHeight="1" x14ac:dyDescent="0.25"/>
    <row r="497" s="76" customFormat="1" ht="15" customHeight="1" x14ac:dyDescent="0.25"/>
    <row r="498" s="76" customFormat="1" ht="15" customHeight="1" x14ac:dyDescent="0.25"/>
    <row r="499" s="76" customFormat="1" ht="15" customHeight="1" x14ac:dyDescent="0.25"/>
    <row r="500" s="76" customFormat="1" ht="15" customHeight="1" x14ac:dyDescent="0.25"/>
    <row r="501" s="76" customFormat="1" ht="15" customHeight="1" x14ac:dyDescent="0.25"/>
    <row r="502" s="76" customFormat="1" ht="15" customHeight="1" x14ac:dyDescent="0.25"/>
    <row r="503" s="76" customFormat="1" ht="15" customHeight="1" x14ac:dyDescent="0.25"/>
    <row r="504" s="76" customFormat="1" ht="15" customHeight="1" x14ac:dyDescent="0.25"/>
    <row r="505" s="76" customFormat="1" ht="15" customHeight="1" x14ac:dyDescent="0.25"/>
    <row r="506" s="76" customFormat="1" ht="15" customHeight="1" x14ac:dyDescent="0.25"/>
    <row r="507" s="76" customFormat="1" ht="15" customHeight="1" x14ac:dyDescent="0.25"/>
    <row r="508" s="76" customFormat="1" ht="15" customHeight="1" x14ac:dyDescent="0.25"/>
    <row r="509" s="76" customFormat="1" ht="15" customHeight="1" x14ac:dyDescent="0.25"/>
    <row r="510" s="76" customFormat="1" ht="15" customHeight="1" x14ac:dyDescent="0.25"/>
    <row r="511" s="76" customFormat="1" ht="15" customHeight="1" x14ac:dyDescent="0.25"/>
    <row r="512" s="76" customFormat="1" ht="15" customHeight="1" x14ac:dyDescent="0.25"/>
    <row r="513" s="76" customFormat="1" ht="15" customHeight="1" x14ac:dyDescent="0.25"/>
    <row r="514" s="76" customFormat="1" ht="15" customHeight="1" x14ac:dyDescent="0.25"/>
    <row r="515" s="76" customFormat="1" ht="15" customHeight="1" x14ac:dyDescent="0.25"/>
    <row r="516" s="76" customFormat="1" ht="15" customHeight="1" x14ac:dyDescent="0.25"/>
    <row r="517" s="76" customFormat="1" ht="15" customHeight="1" x14ac:dyDescent="0.25"/>
    <row r="518" s="76" customFormat="1" ht="15" customHeight="1" x14ac:dyDescent="0.25"/>
    <row r="519" s="76" customFormat="1" ht="15" customHeight="1" x14ac:dyDescent="0.25"/>
    <row r="520" s="76" customFormat="1" ht="15" customHeight="1" x14ac:dyDescent="0.25"/>
    <row r="521" s="76" customFormat="1" ht="15" customHeight="1" x14ac:dyDescent="0.25"/>
    <row r="522" s="76" customFormat="1" ht="15" customHeight="1" x14ac:dyDescent="0.25"/>
    <row r="523" s="76" customFormat="1" ht="15" customHeight="1" x14ac:dyDescent="0.25"/>
    <row r="524" s="76" customFormat="1" ht="15" customHeight="1" x14ac:dyDescent="0.25"/>
    <row r="525" s="76" customFormat="1" ht="15" customHeight="1" x14ac:dyDescent="0.25"/>
    <row r="526" s="76" customFormat="1" ht="15" customHeight="1" x14ac:dyDescent="0.25"/>
    <row r="527" s="76" customFormat="1" ht="15" customHeight="1" x14ac:dyDescent="0.25"/>
    <row r="528" s="76" customFormat="1" ht="15" customHeight="1" x14ac:dyDescent="0.25"/>
    <row r="529" s="76" customFormat="1" ht="15" customHeight="1" x14ac:dyDescent="0.25"/>
    <row r="530" s="76" customFormat="1" ht="15" customHeight="1" x14ac:dyDescent="0.25"/>
    <row r="531" s="76" customFormat="1" ht="15" customHeight="1" x14ac:dyDescent="0.25"/>
    <row r="532" s="76" customFormat="1" ht="15" customHeight="1" x14ac:dyDescent="0.25"/>
    <row r="533" s="76" customFormat="1" ht="15" customHeight="1" x14ac:dyDescent="0.25"/>
    <row r="534" s="76" customFormat="1" ht="15" customHeight="1" x14ac:dyDescent="0.25"/>
    <row r="535" s="76" customFormat="1" ht="15" customHeight="1" x14ac:dyDescent="0.25"/>
    <row r="536" s="76" customFormat="1" ht="15" customHeight="1" x14ac:dyDescent="0.25"/>
    <row r="537" s="76" customFormat="1" ht="15" customHeight="1" x14ac:dyDescent="0.25"/>
    <row r="538" s="76" customFormat="1" ht="15" customHeight="1" x14ac:dyDescent="0.25"/>
    <row r="539" s="76" customFormat="1" ht="15" customHeight="1" x14ac:dyDescent="0.25"/>
    <row r="540" s="76" customFormat="1" ht="15" customHeight="1" x14ac:dyDescent="0.25"/>
    <row r="541" s="76" customFormat="1" ht="15" customHeight="1" x14ac:dyDescent="0.25"/>
    <row r="542" s="76" customFormat="1" ht="15" customHeight="1" x14ac:dyDescent="0.25"/>
    <row r="543" s="76" customFormat="1" ht="15" customHeight="1" x14ac:dyDescent="0.25"/>
    <row r="544" s="76" customFormat="1" ht="15" customHeight="1" x14ac:dyDescent="0.25"/>
    <row r="545" s="76" customFormat="1" ht="15" customHeight="1" x14ac:dyDescent="0.25"/>
    <row r="546" s="76" customFormat="1" ht="15" customHeight="1" x14ac:dyDescent="0.25"/>
    <row r="547" s="76" customFormat="1" ht="15" customHeight="1" x14ac:dyDescent="0.25"/>
    <row r="548" s="76" customFormat="1" ht="15" customHeight="1" x14ac:dyDescent="0.25"/>
    <row r="549" s="76" customFormat="1" ht="15" customHeight="1" x14ac:dyDescent="0.25"/>
    <row r="550" s="76" customFormat="1" ht="15" customHeight="1" x14ac:dyDescent="0.25"/>
    <row r="551" s="76" customFormat="1" ht="15" customHeight="1" x14ac:dyDescent="0.25"/>
    <row r="552" s="76" customFormat="1" ht="15" customHeight="1" x14ac:dyDescent="0.25"/>
    <row r="553" s="76" customFormat="1" ht="15" customHeight="1" x14ac:dyDescent="0.25"/>
    <row r="554" s="76" customFormat="1" ht="15" customHeight="1" x14ac:dyDescent="0.25"/>
    <row r="555" s="76" customFormat="1" ht="15" customHeight="1" x14ac:dyDescent="0.25"/>
    <row r="556" s="76" customFormat="1" ht="15" customHeight="1" x14ac:dyDescent="0.25"/>
    <row r="557" s="76" customFormat="1" ht="15" customHeight="1" x14ac:dyDescent="0.25"/>
    <row r="558" s="76" customFormat="1" ht="15" customHeight="1" x14ac:dyDescent="0.25"/>
    <row r="559" s="76" customFormat="1" ht="15" customHeight="1" x14ac:dyDescent="0.25"/>
    <row r="560" s="76" customFormat="1" ht="15" customHeight="1" x14ac:dyDescent="0.25"/>
    <row r="561" s="76" customFormat="1" ht="15" customHeight="1" x14ac:dyDescent="0.25"/>
    <row r="562" s="76" customFormat="1" ht="15" customHeight="1" x14ac:dyDescent="0.25"/>
    <row r="563" s="76" customFormat="1" ht="15" customHeight="1" x14ac:dyDescent="0.25"/>
    <row r="564" s="76" customFormat="1" ht="15" customHeight="1" x14ac:dyDescent="0.25"/>
    <row r="565" s="76" customFormat="1" ht="15" customHeight="1" x14ac:dyDescent="0.25"/>
    <row r="566" s="76" customFormat="1" ht="15" customHeight="1" x14ac:dyDescent="0.25"/>
    <row r="567" s="76" customFormat="1" ht="15" customHeight="1" x14ac:dyDescent="0.25"/>
    <row r="568" s="76" customFormat="1" ht="15" customHeight="1" x14ac:dyDescent="0.25"/>
    <row r="569" s="76" customFormat="1" ht="15" customHeight="1" x14ac:dyDescent="0.25"/>
    <row r="570" s="76" customFormat="1" ht="15" customHeight="1" x14ac:dyDescent="0.25"/>
    <row r="571" s="76" customFormat="1" ht="15" customHeight="1" x14ac:dyDescent="0.25"/>
    <row r="572" s="76" customFormat="1" ht="15" customHeight="1" x14ac:dyDescent="0.25"/>
    <row r="573" s="76" customFormat="1" ht="15" customHeight="1" x14ac:dyDescent="0.25"/>
    <row r="574" s="76" customFormat="1" ht="15" customHeight="1" x14ac:dyDescent="0.25"/>
    <row r="575" s="76" customFormat="1" ht="15" customHeight="1" x14ac:dyDescent="0.25"/>
    <row r="576" s="76" customFormat="1" ht="15" customHeight="1" x14ac:dyDescent="0.25"/>
    <row r="577" s="76" customFormat="1" ht="15" customHeight="1" x14ac:dyDescent="0.25"/>
    <row r="578" s="76" customFormat="1" ht="15" customHeight="1" x14ac:dyDescent="0.25"/>
    <row r="579" s="76" customFormat="1" ht="15" customHeight="1" x14ac:dyDescent="0.25"/>
    <row r="580" s="76" customFormat="1" ht="15" customHeight="1" x14ac:dyDescent="0.25"/>
    <row r="581" s="76" customFormat="1" ht="15" customHeight="1" x14ac:dyDescent="0.25"/>
    <row r="582" s="76" customFormat="1" ht="15" customHeight="1" x14ac:dyDescent="0.25"/>
    <row r="583" s="76" customFormat="1" ht="15" customHeight="1" x14ac:dyDescent="0.25"/>
    <row r="584" s="76" customFormat="1" ht="15" customHeight="1" x14ac:dyDescent="0.25"/>
    <row r="585" s="76" customFormat="1" ht="15" customHeight="1" x14ac:dyDescent="0.25"/>
    <row r="586" s="76" customFormat="1" ht="15" customHeight="1" x14ac:dyDescent="0.25"/>
    <row r="587" s="76" customFormat="1" ht="15" customHeight="1" x14ac:dyDescent="0.25"/>
    <row r="588" s="76" customFormat="1" ht="15" customHeight="1" x14ac:dyDescent="0.25"/>
    <row r="589" s="76" customFormat="1" ht="15" customHeight="1" x14ac:dyDescent="0.25"/>
    <row r="590" s="76" customFormat="1" ht="15" customHeight="1" x14ac:dyDescent="0.25"/>
    <row r="591" s="76" customFormat="1" ht="15" customHeight="1" x14ac:dyDescent="0.25"/>
    <row r="592" s="76" customFormat="1" ht="15" customHeight="1" x14ac:dyDescent="0.25"/>
    <row r="593" s="76" customFormat="1" ht="15" customHeight="1" x14ac:dyDescent="0.25"/>
    <row r="594" s="76" customFormat="1" ht="15" customHeight="1" x14ac:dyDescent="0.25"/>
    <row r="595" s="76" customFormat="1" ht="15" customHeight="1" x14ac:dyDescent="0.25"/>
    <row r="596" s="76" customFormat="1" ht="15" customHeight="1" x14ac:dyDescent="0.25"/>
    <row r="597" s="76" customFormat="1" ht="15" customHeight="1" x14ac:dyDescent="0.25"/>
    <row r="598" s="76" customFormat="1" ht="15" customHeight="1" x14ac:dyDescent="0.25"/>
    <row r="599" s="76" customFormat="1" ht="15" customHeight="1" x14ac:dyDescent="0.25"/>
    <row r="600" s="76" customFormat="1" ht="15" customHeight="1" x14ac:dyDescent="0.25"/>
    <row r="601" s="76" customFormat="1" ht="15" customHeight="1" x14ac:dyDescent="0.25"/>
    <row r="602" s="76" customFormat="1" ht="15" customHeight="1" x14ac:dyDescent="0.25"/>
    <row r="603" s="76" customFormat="1" ht="15" customHeight="1" x14ac:dyDescent="0.25"/>
    <row r="604" s="76" customFormat="1" ht="15" customHeight="1" x14ac:dyDescent="0.25"/>
    <row r="605" s="76" customFormat="1" ht="15" customHeight="1" x14ac:dyDescent="0.25"/>
    <row r="606" s="76" customFormat="1" ht="15" customHeight="1" x14ac:dyDescent="0.25"/>
    <row r="607" s="76" customFormat="1" ht="15" customHeight="1" x14ac:dyDescent="0.25"/>
    <row r="608" s="76" customFormat="1" ht="15" customHeight="1" x14ac:dyDescent="0.25"/>
    <row r="609" s="76" customFormat="1" ht="15" customHeight="1" x14ac:dyDescent="0.25"/>
    <row r="610" s="76" customFormat="1" ht="15" customHeight="1" x14ac:dyDescent="0.25"/>
    <row r="611" s="76" customFormat="1" ht="15" customHeight="1" x14ac:dyDescent="0.25"/>
    <row r="612" s="76" customFormat="1" ht="15" customHeight="1" x14ac:dyDescent="0.25"/>
    <row r="613" s="76" customFormat="1" ht="15" customHeight="1" x14ac:dyDescent="0.25"/>
    <row r="614" s="76" customFormat="1" ht="15" customHeight="1" x14ac:dyDescent="0.25"/>
    <row r="615" s="76" customFormat="1" ht="15" customHeight="1" x14ac:dyDescent="0.25"/>
    <row r="616" s="76" customFormat="1" ht="15" customHeight="1" x14ac:dyDescent="0.25"/>
    <row r="617" s="76" customFormat="1" ht="15" customHeight="1" x14ac:dyDescent="0.25"/>
    <row r="618" s="76" customFormat="1" ht="15" customHeight="1" x14ac:dyDescent="0.25"/>
    <row r="619" s="76" customFormat="1" ht="15" customHeight="1" x14ac:dyDescent="0.25"/>
    <row r="620" s="76" customFormat="1" ht="15" customHeight="1" x14ac:dyDescent="0.25"/>
    <row r="621" s="76" customFormat="1" ht="15" customHeight="1" x14ac:dyDescent="0.25"/>
    <row r="622" s="76" customFormat="1" ht="15" customHeight="1" x14ac:dyDescent="0.25"/>
    <row r="623" s="76" customFormat="1" ht="15" customHeight="1" x14ac:dyDescent="0.25"/>
    <row r="624" s="76" customFormat="1" ht="15" customHeight="1" x14ac:dyDescent="0.25"/>
    <row r="625" s="76" customFormat="1" ht="15" customHeight="1" x14ac:dyDescent="0.25"/>
    <row r="626" s="76" customFormat="1" ht="15" customHeight="1" x14ac:dyDescent="0.25"/>
    <row r="627" s="76" customFormat="1" ht="15" customHeight="1" x14ac:dyDescent="0.25"/>
    <row r="628" s="76" customFormat="1" ht="15" customHeight="1" x14ac:dyDescent="0.25"/>
    <row r="629" s="76" customFormat="1" ht="15" customHeight="1" x14ac:dyDescent="0.25"/>
    <row r="630" s="76" customFormat="1" ht="15" customHeight="1" x14ac:dyDescent="0.25"/>
    <row r="631" s="76" customFormat="1" ht="15" customHeight="1" x14ac:dyDescent="0.25"/>
    <row r="632" s="76" customFormat="1" ht="15" customHeight="1" x14ac:dyDescent="0.25"/>
    <row r="633" s="76" customFormat="1" ht="15" customHeight="1" x14ac:dyDescent="0.25"/>
    <row r="634" s="76" customFormat="1" ht="15" customHeight="1" x14ac:dyDescent="0.25"/>
    <row r="635" s="76" customFormat="1" ht="15" customHeight="1" x14ac:dyDescent="0.25"/>
    <row r="636" s="76" customFormat="1" ht="15" customHeight="1" x14ac:dyDescent="0.25"/>
    <row r="637" s="76" customFormat="1" ht="15" customHeight="1" x14ac:dyDescent="0.25"/>
    <row r="638" s="76" customFormat="1" ht="15" customHeight="1" x14ac:dyDescent="0.25"/>
    <row r="639" s="76" customFormat="1" ht="15" customHeight="1" x14ac:dyDescent="0.25"/>
    <row r="640" s="76" customFormat="1" ht="15" customHeight="1" x14ac:dyDescent="0.25"/>
    <row r="641" s="76" customFormat="1" ht="15" customHeight="1" x14ac:dyDescent="0.25"/>
    <row r="642" s="76" customFormat="1" ht="15" customHeight="1" x14ac:dyDescent="0.25"/>
    <row r="643" s="76" customFormat="1" ht="15" customHeight="1" x14ac:dyDescent="0.25"/>
    <row r="644" s="76" customFormat="1" ht="15" customHeight="1" x14ac:dyDescent="0.25"/>
    <row r="645" s="76" customFormat="1" ht="15" customHeight="1" x14ac:dyDescent="0.25"/>
    <row r="646" s="76" customFormat="1" ht="15" customHeight="1" x14ac:dyDescent="0.25"/>
    <row r="647" s="76" customFormat="1" ht="15" customHeight="1" x14ac:dyDescent="0.25"/>
    <row r="648" s="76" customFormat="1" ht="15" customHeight="1" x14ac:dyDescent="0.25"/>
    <row r="649" s="76" customFormat="1" ht="15" customHeight="1" x14ac:dyDescent="0.25"/>
    <row r="650" s="76" customFormat="1" ht="15" customHeight="1" x14ac:dyDescent="0.25"/>
    <row r="651" s="76" customFormat="1" ht="15" customHeight="1" x14ac:dyDescent="0.25"/>
    <row r="652" s="76" customFormat="1" ht="15" customHeight="1" x14ac:dyDescent="0.25"/>
    <row r="653" s="76" customFormat="1" ht="15" customHeight="1" x14ac:dyDescent="0.25"/>
    <row r="654" s="76" customFormat="1" ht="15" customHeight="1" x14ac:dyDescent="0.25"/>
    <row r="655" s="76" customFormat="1" ht="15" customHeight="1" x14ac:dyDescent="0.25"/>
    <row r="656" s="76" customFormat="1" ht="15" customHeight="1" x14ac:dyDescent="0.25"/>
    <row r="657" s="76" customFormat="1" ht="15" customHeight="1" x14ac:dyDescent="0.25"/>
    <row r="658" s="76" customFormat="1" ht="15" customHeight="1" x14ac:dyDescent="0.25"/>
    <row r="659" s="76" customFormat="1" ht="15" customHeight="1" x14ac:dyDescent="0.25"/>
    <row r="660" s="76" customFormat="1" ht="15" customHeight="1" x14ac:dyDescent="0.25"/>
    <row r="661" s="76" customFormat="1" ht="15" customHeight="1" x14ac:dyDescent="0.25"/>
    <row r="662" s="76" customFormat="1" ht="15" customHeight="1" x14ac:dyDescent="0.25"/>
    <row r="663" s="76" customFormat="1" ht="15" customHeight="1" x14ac:dyDescent="0.25"/>
    <row r="664" s="76" customFormat="1" ht="15" customHeight="1" x14ac:dyDescent="0.25"/>
    <row r="665" s="76" customFormat="1" ht="15" customHeight="1" x14ac:dyDescent="0.25"/>
    <row r="666" s="76" customFormat="1" ht="15" customHeight="1" x14ac:dyDescent="0.25"/>
    <row r="667" s="76" customFormat="1" ht="15" customHeight="1" x14ac:dyDescent="0.25"/>
    <row r="668" s="76" customFormat="1" ht="15" customHeight="1" x14ac:dyDescent="0.25"/>
    <row r="669" s="76" customFormat="1" ht="15" customHeight="1" x14ac:dyDescent="0.25"/>
    <row r="670" s="76" customFormat="1" ht="15" customHeight="1" x14ac:dyDescent="0.25"/>
    <row r="671" s="76" customFormat="1" ht="15" customHeight="1" x14ac:dyDescent="0.25"/>
    <row r="672" s="76" customFormat="1" ht="15" customHeight="1" x14ac:dyDescent="0.25"/>
    <row r="673" s="76" customFormat="1" ht="15" customHeight="1" x14ac:dyDescent="0.25"/>
    <row r="674" s="76" customFormat="1" ht="15" customHeight="1" x14ac:dyDescent="0.25"/>
    <row r="675" s="76" customFormat="1" ht="15" customHeight="1" x14ac:dyDescent="0.25"/>
    <row r="676" s="76" customFormat="1" ht="15" customHeight="1" x14ac:dyDescent="0.25"/>
    <row r="677" s="76" customFormat="1" ht="15" customHeight="1" x14ac:dyDescent="0.25"/>
    <row r="678" s="76" customFormat="1" ht="15" customHeight="1" x14ac:dyDescent="0.25"/>
    <row r="679" s="76" customFormat="1" ht="15" customHeight="1" x14ac:dyDescent="0.25"/>
    <row r="680" s="76" customFormat="1" ht="15" customHeight="1" x14ac:dyDescent="0.25"/>
    <row r="681" s="76" customFormat="1" ht="15" customHeight="1" x14ac:dyDescent="0.25"/>
    <row r="682" s="76" customFormat="1" ht="15" customHeight="1" x14ac:dyDescent="0.25"/>
    <row r="683" s="76" customFormat="1" ht="15" customHeight="1" x14ac:dyDescent="0.25"/>
    <row r="684" s="76" customFormat="1" ht="15" customHeight="1" x14ac:dyDescent="0.25"/>
    <row r="685" s="76" customFormat="1" ht="15" customHeight="1" x14ac:dyDescent="0.25"/>
    <row r="686" s="76" customFormat="1" ht="15" customHeight="1" x14ac:dyDescent="0.25"/>
    <row r="687" s="76" customFormat="1" ht="15" customHeight="1" x14ac:dyDescent="0.25"/>
    <row r="688" s="76" customFormat="1" ht="15" customHeight="1" x14ac:dyDescent="0.25"/>
    <row r="689" s="76" customFormat="1" ht="15" customHeight="1" x14ac:dyDescent="0.25"/>
    <row r="690" s="76" customFormat="1" ht="15" customHeight="1" x14ac:dyDescent="0.25"/>
    <row r="691" s="76" customFormat="1" ht="15" customHeight="1" x14ac:dyDescent="0.25"/>
    <row r="692" s="76" customFormat="1" ht="15" customHeight="1" x14ac:dyDescent="0.25"/>
    <row r="693" s="76" customFormat="1" ht="15" customHeight="1" x14ac:dyDescent="0.25"/>
    <row r="694" s="76" customFormat="1" ht="15" customHeight="1" x14ac:dyDescent="0.25"/>
    <row r="695" s="76" customFormat="1" ht="15" customHeight="1" x14ac:dyDescent="0.25"/>
    <row r="696" s="76" customFormat="1" ht="15" customHeight="1" x14ac:dyDescent="0.25"/>
    <row r="697" s="76" customFormat="1" ht="15" customHeight="1" x14ac:dyDescent="0.25"/>
    <row r="698" s="76" customFormat="1" ht="15" customHeight="1" x14ac:dyDescent="0.25"/>
    <row r="699" s="76" customFormat="1" ht="15" customHeight="1" x14ac:dyDescent="0.25"/>
    <row r="700" s="76" customFormat="1" ht="15" customHeight="1" x14ac:dyDescent="0.25"/>
    <row r="701" s="76" customFormat="1" ht="15" customHeight="1" x14ac:dyDescent="0.25"/>
    <row r="702" s="76" customFormat="1" ht="15" customHeight="1" x14ac:dyDescent="0.25"/>
    <row r="703" s="76" customFormat="1" ht="15" customHeight="1" x14ac:dyDescent="0.25"/>
    <row r="704" s="76" customFormat="1" ht="15" customHeight="1" x14ac:dyDescent="0.25"/>
    <row r="705" s="76" customFormat="1" ht="15" customHeight="1" x14ac:dyDescent="0.25"/>
    <row r="706" s="76" customFormat="1" ht="15" customHeight="1" x14ac:dyDescent="0.25"/>
    <row r="707" s="76" customFormat="1" ht="15" customHeight="1" x14ac:dyDescent="0.25"/>
    <row r="708" s="76" customFormat="1" ht="15" customHeight="1" x14ac:dyDescent="0.25"/>
    <row r="709" s="76" customFormat="1" ht="15" customHeight="1" x14ac:dyDescent="0.25"/>
    <row r="710" s="76" customFormat="1" ht="15" customHeight="1" x14ac:dyDescent="0.25"/>
    <row r="711" s="76" customFormat="1" ht="15" customHeight="1" x14ac:dyDescent="0.25"/>
    <row r="712" s="76" customFormat="1" ht="15" customHeight="1" x14ac:dyDescent="0.25"/>
    <row r="713" s="76" customFormat="1" ht="15" customHeight="1" x14ac:dyDescent="0.25"/>
    <row r="714" s="76" customFormat="1" ht="15" customHeight="1" x14ac:dyDescent="0.25"/>
    <row r="715" s="76" customFormat="1" ht="15" customHeight="1" x14ac:dyDescent="0.25"/>
    <row r="716" s="76" customFormat="1" ht="15" customHeight="1" x14ac:dyDescent="0.25"/>
    <row r="717" s="76" customFormat="1" ht="15" customHeight="1" x14ac:dyDescent="0.25"/>
    <row r="718" s="76" customFormat="1" ht="15" customHeight="1" x14ac:dyDescent="0.25"/>
    <row r="719" s="76" customFormat="1" ht="15" customHeight="1" x14ac:dyDescent="0.25"/>
    <row r="720" s="76" customFormat="1" ht="15" customHeight="1" x14ac:dyDescent="0.25"/>
    <row r="721" s="76" customFormat="1" ht="15" customHeight="1" x14ac:dyDescent="0.25"/>
    <row r="722" s="76" customFormat="1" ht="15" customHeight="1" x14ac:dyDescent="0.25"/>
    <row r="723" s="76" customFormat="1" ht="15" customHeight="1" x14ac:dyDescent="0.25"/>
    <row r="724" s="76" customFormat="1" ht="15" customHeight="1" x14ac:dyDescent="0.25"/>
    <row r="725" s="76" customFormat="1" ht="15" customHeight="1" x14ac:dyDescent="0.25"/>
    <row r="726" s="76" customFormat="1" ht="15" customHeight="1" x14ac:dyDescent="0.25"/>
    <row r="727" s="76" customFormat="1" ht="15" customHeight="1" x14ac:dyDescent="0.25"/>
    <row r="728" s="76" customFormat="1" ht="15" customHeight="1" x14ac:dyDescent="0.25"/>
  </sheetData>
  <sheetProtection algorithmName="SHA-512" hashValue="ehJX/B5csnVTZcgc3X5+2QexABa3iUUWnDhgrTh6pxMCqAYfIOXCSxLeeIO5/ESqKXvbJVOwmz/gc5ddGBAjiw==" saltValue="rglVV+NC0k3Z4ie0SVRxDQ==" spinCount="100000" sheet="1" formatColumns="0"/>
  <mergeCells count="17">
    <mergeCell ref="D1:F1"/>
    <mergeCell ref="Q1:S1"/>
    <mergeCell ref="B2:C2"/>
    <mergeCell ref="D2:F2"/>
    <mergeCell ref="D3:F3"/>
    <mergeCell ref="O3:S3"/>
    <mergeCell ref="B4:C4"/>
    <mergeCell ref="D4:F4"/>
    <mergeCell ref="N4:N7"/>
    <mergeCell ref="O4:S7"/>
    <mergeCell ref="B6:C6"/>
    <mergeCell ref="B7:C7"/>
    <mergeCell ref="B8:C8"/>
    <mergeCell ref="B9:C9"/>
    <mergeCell ref="B10:C10"/>
    <mergeCell ref="B11:C11"/>
    <mergeCell ref="B12:C12"/>
  </mergeCells>
  <conditionalFormatting sqref="K11">
    <cfRule type="expression" dxfId="41" priority="2">
      <formula>K11=""</formula>
    </cfRule>
  </conditionalFormatting>
  <conditionalFormatting sqref="H6">
    <cfRule type="expression" dxfId="40" priority="3">
      <formula>$D$4="Rental"</formula>
    </cfRule>
    <cfRule type="expression" dxfId="39" priority="4">
      <formula>$D$4="Lease"</formula>
    </cfRule>
  </conditionalFormatting>
  <conditionalFormatting sqref="H7">
    <cfRule type="cellIs" dxfId="38" priority="5" operator="equal">
      <formula>"SELECT OTHER ACCOUNT"</formula>
    </cfRule>
  </conditionalFormatting>
  <conditionalFormatting sqref="P3:S3">
    <cfRule type="expression" dxfId="37" priority="6">
      <formula>$O$3&lt;&gt;""</formula>
    </cfRule>
  </conditionalFormatting>
  <conditionalFormatting sqref="O3:S3">
    <cfRule type="cellIs" dxfId="36" priority="7" operator="equal">
      <formula>"THIS VENDOR REQUIRES A P.O. NUMBER"</formula>
    </cfRule>
  </conditionalFormatting>
  <conditionalFormatting sqref="I7">
    <cfRule type="cellIs" dxfId="35" priority="8" operator="equal">
      <formula>"IF SALES TAX, WHAT STATE?"</formula>
    </cfRule>
  </conditionalFormatting>
  <conditionalFormatting sqref="M12">
    <cfRule type="expression" dxfId="34" priority="9">
      <formula>$M$12&lt;&gt;0</formula>
    </cfRule>
  </conditionalFormatting>
  <conditionalFormatting sqref="L12">
    <cfRule type="expression" dxfId="33" priority="10">
      <formula>$L$12=""</formula>
    </cfRule>
  </conditionalFormatting>
  <conditionalFormatting sqref="K9">
    <cfRule type="expression" dxfId="32" priority="11">
      <formula>K9=""</formula>
    </cfRule>
  </conditionalFormatting>
  <conditionalFormatting sqref="D3:F3">
    <cfRule type="expression" dxfId="31" priority="12">
      <formula>$D$3="ENTER"</formula>
    </cfRule>
  </conditionalFormatting>
  <conditionalFormatting sqref="D2:F2">
    <cfRule type="expression" dxfId="30" priority="13">
      <formula>$D$2="ENTER"</formula>
    </cfRule>
  </conditionalFormatting>
  <conditionalFormatting sqref="Q1">
    <cfRule type="expression" dxfId="29" priority="14">
      <formula>$Q$1="SELECT OR TYPE"</formula>
    </cfRule>
  </conditionalFormatting>
  <conditionalFormatting sqref="B6:G6 I6">
    <cfRule type="expression" dxfId="28" priority="15">
      <formula>$D$4="Rental"</formula>
    </cfRule>
    <cfRule type="expression" dxfId="27" priority="16">
      <formula>$D$4="Lease"</formula>
    </cfRule>
  </conditionalFormatting>
  <conditionalFormatting sqref="D4:F4">
    <cfRule type="expression" dxfId="26" priority="17">
      <formula>$D$4="Rental"</formula>
    </cfRule>
    <cfRule type="expression" dxfId="25" priority="18">
      <formula>$D$4="Lease"</formula>
    </cfRule>
    <cfRule type="expression" dxfId="24" priority="19">
      <formula>$D$4="SELECT"</formula>
    </cfRule>
  </conditionalFormatting>
  <conditionalFormatting sqref="D1:F1">
    <cfRule type="expression" dxfId="23" priority="20">
      <formula>$D$1="SELECT OR TYPE"</formula>
    </cfRule>
  </conditionalFormatting>
  <conditionalFormatting sqref="R15:R307">
    <cfRule type="expression" dxfId="22" priority="21">
      <formula>AND($C15&lt;&gt;"",$R15="")</formula>
    </cfRule>
  </conditionalFormatting>
  <conditionalFormatting sqref="S15:S307">
    <cfRule type="expression" dxfId="21" priority="22">
      <formula>AND($C15&lt;&gt;"",$S15="")</formula>
    </cfRule>
  </conditionalFormatting>
  <conditionalFormatting sqref="Q15:Q307">
    <cfRule type="expression" dxfId="20" priority="23">
      <formula>AND($C15&lt;&gt;"",$Q15="")</formula>
    </cfRule>
  </conditionalFormatting>
  <conditionalFormatting sqref="O15:O307">
    <cfRule type="expression" dxfId="19" priority="24">
      <formula>AND($B15&lt;&gt;"",$O15="")</formula>
    </cfRule>
  </conditionalFormatting>
  <dataValidations count="2">
    <dataValidation type="list" allowBlank="1" showInputMessage="1" showErrorMessage="1" sqref="D4:F4" xr:uid="{00000000-0002-0000-0000-000000000000}">
      <formula1>"SELECT,Lease,Rental"</formula1>
      <formula2>0</formula2>
    </dataValidation>
    <dataValidation type="list" allowBlank="1" showInputMessage="1" showErrorMessage="1" sqref="Q2" xr:uid="{00000000-0002-0000-0000-000001000000}">
      <formula1>"Yes,No"</formula1>
      <formula2>0</formula2>
    </dataValidation>
  </dataValidations>
  <pageMargins left="0.7" right="0.7" top="0.75" bottom="0.75" header="0.511811023622047" footer="0.511811023622047"/>
  <pageSetup fitToHeight="0" orientation="landscape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6">
              <controlPr defaultSize="0" autoFill="0" autoPict="0" macro="Module6.Macro1">
                <anchor moveWithCells="1">
                  <from>
                    <xdr:col>10</xdr:col>
                    <xdr:colOff>142875</xdr:colOff>
                    <xdr:row>1</xdr:row>
                    <xdr:rowOff>142875</xdr:rowOff>
                  </from>
                  <to>
                    <xdr:col>11</xdr:col>
                    <xdr:colOff>476250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000-000002000000}">
          <x14:formula1>
            <xm:f>Keys!$A$1:$A$33</xm:f>
          </x14:formula1>
          <x14:formula2>
            <xm:f>0</xm:f>
          </x14:formula2>
          <xm:sqref>D1</xm:sqref>
        </x14:dataValidation>
        <x14:dataValidation type="list" allowBlank="1" xr:uid="{00000000-0002-0000-0000-000003000000}">
          <x14:formula1>
            <xm:f>'Paclease Customers 081919'!$C$1:$C$214</xm:f>
          </x14:formula1>
          <x14:formula2>
            <xm:f>0</xm:f>
          </x14:formula2>
          <xm:sqref>Q1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DA725"/>
  <sheetViews>
    <sheetView zoomScaleNormal="100" workbookViewId="0">
      <pane ySplit="11" topLeftCell="A12" activePane="bottomLeft" state="frozen"/>
      <selection pane="bottomLeft" activeCell="B12" sqref="B12"/>
    </sheetView>
  </sheetViews>
  <sheetFormatPr defaultColWidth="8.85546875" defaultRowHeight="15" x14ac:dyDescent="0.25"/>
  <cols>
    <col min="1" max="1" width="10.85546875" style="3" customWidth="1"/>
    <col min="2" max="3" width="9" customWidth="1"/>
    <col min="4" max="4" width="9.42578125" customWidth="1"/>
    <col min="5" max="7" width="9" customWidth="1"/>
    <col min="8" max="8" width="19.7109375" customWidth="1"/>
    <col min="9" max="9" width="7" style="3" customWidth="1"/>
    <col min="10" max="10" width="9" style="3" customWidth="1"/>
    <col min="11" max="11" width="9.140625" style="3" customWidth="1"/>
    <col min="12" max="12" width="10.7109375" style="3" customWidth="1"/>
    <col min="13" max="13" width="5" style="3" customWidth="1"/>
    <col min="14" max="14" width="10.42578125" customWidth="1"/>
    <col min="16" max="16" width="10.85546875" customWidth="1"/>
    <col min="17" max="17" width="10.5703125" customWidth="1"/>
    <col min="18" max="18" width="9.85546875" customWidth="1"/>
    <col min="19" max="16384" width="8.85546875" style="3"/>
  </cols>
  <sheetData>
    <row r="1" spans="1:105" ht="15" customHeight="1" x14ac:dyDescent="0.25">
      <c r="B1" s="4" t="s">
        <v>0</v>
      </c>
      <c r="C1" s="5"/>
      <c r="D1" s="121" t="s">
        <v>1</v>
      </c>
      <c r="E1" s="121"/>
      <c r="F1" s="121"/>
      <c r="G1" s="5"/>
      <c r="H1" s="5"/>
      <c r="I1" s="5"/>
      <c r="J1" s="5"/>
      <c r="K1" s="5"/>
      <c r="L1" s="5"/>
      <c r="N1" s="7" t="s">
        <v>1</v>
      </c>
      <c r="O1" s="3"/>
      <c r="P1" s="121" t="s">
        <v>1</v>
      </c>
      <c r="Q1" s="121"/>
      <c r="R1" s="121"/>
    </row>
    <row r="2" spans="1:105" ht="15" customHeight="1" x14ac:dyDescent="0.25">
      <c r="B2" s="120" t="s">
        <v>3</v>
      </c>
      <c r="C2" s="120"/>
      <c r="D2" s="126" t="s">
        <v>4</v>
      </c>
      <c r="E2" s="126"/>
      <c r="F2" s="126"/>
      <c r="G2" s="5"/>
      <c r="H2" s="5"/>
      <c r="I2" s="5"/>
      <c r="J2" s="5"/>
      <c r="K2" s="5"/>
      <c r="L2" s="5"/>
      <c r="N2" s="7" t="s">
        <v>6</v>
      </c>
      <c r="O2" s="3"/>
      <c r="P2" s="9" t="s">
        <v>7</v>
      </c>
      <c r="Q2" s="3"/>
      <c r="R2" s="3"/>
      <c r="T2" s="8"/>
      <c r="U2" s="8"/>
    </row>
    <row r="3" spans="1:105" ht="15" customHeight="1" x14ac:dyDescent="0.25">
      <c r="B3" s="4" t="s">
        <v>8</v>
      </c>
      <c r="C3" s="5"/>
      <c r="D3" s="127" t="s">
        <v>4</v>
      </c>
      <c r="E3" s="127"/>
      <c r="F3" s="127"/>
      <c r="G3" s="5"/>
      <c r="H3" s="5"/>
      <c r="I3" s="5"/>
      <c r="J3" s="5"/>
      <c r="K3" s="5"/>
      <c r="L3" s="5"/>
      <c r="N3" s="128" t="str">
        <f>IFERROR(IF(VLOOKUP(P1,'Paclease Customers 121216'!C9:F237,4,FALSE())="YES","THIS VENDOR REQUIRES A P.O. NUMBER",""),"")</f>
        <v/>
      </c>
      <c r="O3" s="128"/>
      <c r="P3" s="128"/>
      <c r="Q3" s="128"/>
      <c r="R3" s="128"/>
      <c r="T3" s="8"/>
      <c r="U3" s="8"/>
    </row>
    <row r="4" spans="1:105" ht="14.25" customHeight="1" x14ac:dyDescent="0.25">
      <c r="B4" s="120" t="s">
        <v>9</v>
      </c>
      <c r="C4" s="120"/>
      <c r="D4" s="121" t="s">
        <v>10</v>
      </c>
      <c r="E4" s="121"/>
      <c r="F4" s="121"/>
      <c r="G4" s="5"/>
      <c r="H4" s="5"/>
      <c r="I4" s="5"/>
      <c r="J4" s="5"/>
      <c r="K4" s="5"/>
      <c r="L4" s="5"/>
      <c r="M4" s="122" t="s">
        <v>11</v>
      </c>
      <c r="N4" s="123"/>
      <c r="O4" s="123"/>
      <c r="P4" s="123"/>
      <c r="Q4" s="123"/>
      <c r="R4" s="123"/>
      <c r="T4" s="8"/>
      <c r="U4" s="8"/>
    </row>
    <row r="5" spans="1:105" ht="15" customHeight="1" x14ac:dyDescent="0.25">
      <c r="B5" s="77"/>
      <c r="C5" s="77"/>
      <c r="D5" s="77"/>
      <c r="E5" s="77"/>
      <c r="F5" s="77"/>
      <c r="G5" s="5"/>
      <c r="H5" s="5"/>
      <c r="I5" s="5"/>
      <c r="J5" s="5"/>
      <c r="K5" s="5"/>
      <c r="L5" s="5"/>
      <c r="M5" s="122"/>
      <c r="N5" s="123"/>
      <c r="O5" s="123"/>
      <c r="P5" s="123"/>
      <c r="Q5" s="123"/>
      <c r="R5" s="123"/>
      <c r="T5" s="8"/>
      <c r="U5" s="8"/>
    </row>
    <row r="6" spans="1:105" ht="15" customHeight="1" x14ac:dyDescent="0.25">
      <c r="B6" s="129" t="str">
        <f>IF(D4="Lease","578040",IF(D4="Rental","578240",""))</f>
        <v/>
      </c>
      <c r="C6" s="129"/>
      <c r="D6" s="78" t="str">
        <f>IF($D$4="Lease","594040",IF($D$4="Rental","594140",""))</f>
        <v/>
      </c>
      <c r="E6" s="79" t="str">
        <f>IF($D$4="Lease","594240",IF($D$4="Rental","594340",""))</f>
        <v/>
      </c>
      <c r="F6" s="79" t="str">
        <f>IF($D$4="Lease","594440",IF($D$4="Rental","594540",""))</f>
        <v/>
      </c>
      <c r="G6" s="79" t="str">
        <f>IF($D$4="Lease","594640",IF($D$4="Rental","594740",""))</f>
        <v/>
      </c>
      <c r="H6" s="80" t="str">
        <f>IF(OR(H7="",H7="SELECT OTHER ACCOUNT"),"",VLOOKUP(H7,Keys!A18:B32,2,FALSE()))</f>
        <v/>
      </c>
      <c r="M6" s="122"/>
      <c r="N6" s="123"/>
      <c r="O6" s="123"/>
      <c r="P6" s="123"/>
      <c r="Q6" s="123"/>
      <c r="R6" s="123"/>
    </row>
    <row r="7" spans="1:105" ht="30" customHeight="1" x14ac:dyDescent="0.25">
      <c r="B7" s="125" t="s">
        <v>12</v>
      </c>
      <c r="C7" s="125"/>
      <c r="D7" s="15" t="s">
        <v>13</v>
      </c>
      <c r="E7" s="16" t="s">
        <v>14</v>
      </c>
      <c r="F7" s="16" t="s">
        <v>15</v>
      </c>
      <c r="G7" s="16" t="s">
        <v>16</v>
      </c>
      <c r="H7" s="81" t="s">
        <v>17</v>
      </c>
      <c r="M7" s="122"/>
      <c r="N7" s="123"/>
      <c r="O7" s="123"/>
      <c r="P7" s="123"/>
      <c r="Q7" s="123"/>
      <c r="R7" s="123"/>
    </row>
    <row r="8" spans="1:105" ht="15" customHeight="1" x14ac:dyDescent="0.25">
      <c r="B8" s="115">
        <f>SUM(B12:C1048576)</f>
        <v>0</v>
      </c>
      <c r="C8" s="115"/>
      <c r="D8" s="19">
        <f>SUM(D12:D1048576)</f>
        <v>0</v>
      </c>
      <c r="E8" s="20">
        <f>SUM(E12:E1048576)</f>
        <v>0</v>
      </c>
      <c r="F8" s="20">
        <f>SUM(F12:F1048576)</f>
        <v>0</v>
      </c>
      <c r="G8" s="20">
        <f>SUM(G12:G1048576)</f>
        <v>0</v>
      </c>
      <c r="H8" s="47">
        <f>SUM(H12:H1048576)</f>
        <v>0</v>
      </c>
      <c r="I8" s="23"/>
      <c r="J8" s="19">
        <f>SUM(B8:H8)</f>
        <v>0</v>
      </c>
      <c r="K8" s="23"/>
      <c r="L8" s="23"/>
      <c r="N8" s="24" t="s">
        <v>34</v>
      </c>
      <c r="O8" s="25"/>
      <c r="P8" s="51">
        <f>SUM($O$12:$O$1048576,$R$12:$R$1048576)</f>
        <v>0</v>
      </c>
      <c r="Q8" s="82"/>
      <c r="R8" s="28"/>
    </row>
    <row r="9" spans="1:105" ht="15.75" customHeight="1" x14ac:dyDescent="0.25">
      <c r="B9" s="116">
        <f>IFERROR(B8/$J$8*$J$9,0)</f>
        <v>0</v>
      </c>
      <c r="C9" s="116"/>
      <c r="D9" s="29">
        <f>IFERROR(D8/$J$8*$J$9,0)</f>
        <v>0</v>
      </c>
      <c r="E9" s="30">
        <f>IFERROR(E8/$J$8*$J$9,0)</f>
        <v>0</v>
      </c>
      <c r="F9" s="30">
        <f>IFERROR(F8/$J$8*$J$9,0)</f>
        <v>0</v>
      </c>
      <c r="G9" s="30">
        <f>IFERROR(G8/$J$8*$J$9,0)</f>
        <v>0</v>
      </c>
      <c r="H9" s="83">
        <f>IFERROR(H8/$J$8*$J$9,0)</f>
        <v>0</v>
      </c>
      <c r="I9" s="23" t="s">
        <v>19</v>
      </c>
      <c r="J9" s="33"/>
      <c r="K9" s="34" t="s">
        <v>23</v>
      </c>
      <c r="L9" s="23" t="s">
        <v>24</v>
      </c>
      <c r="M9" s="44"/>
      <c r="N9" s="1" t="s">
        <v>20</v>
      </c>
      <c r="O9" s="36">
        <v>0.2</v>
      </c>
      <c r="P9" s="84">
        <f>B9*(1+O9)</f>
        <v>0</v>
      </c>
      <c r="Q9" s="85" t="s">
        <v>25</v>
      </c>
      <c r="R9" s="48" t="s">
        <v>26</v>
      </c>
    </row>
    <row r="10" spans="1:105" ht="15.75" customHeight="1" x14ac:dyDescent="0.25">
      <c r="A10" s="3" t="s">
        <v>27</v>
      </c>
      <c r="B10" s="119">
        <f>ROUND(SUM(B8:B9),2)</f>
        <v>0</v>
      </c>
      <c r="C10" s="119"/>
      <c r="D10" s="86">
        <f>ROUND(SUM(D8:D9),2)</f>
        <v>0</v>
      </c>
      <c r="E10" s="87">
        <f>ROUND(SUM(E8:E9),2)</f>
        <v>0</v>
      </c>
      <c r="F10" s="87">
        <f>ROUND(SUM(F8:F9),2)</f>
        <v>0</v>
      </c>
      <c r="G10" s="87">
        <f>ROUND(SUM(G8:G9),2)</f>
        <v>0</v>
      </c>
      <c r="H10" s="88">
        <f>ROUND(SUM(H8:H9),2)</f>
        <v>0</v>
      </c>
      <c r="I10" s="23"/>
      <c r="J10" s="19">
        <f>SUM(B10:H10)</f>
        <v>0</v>
      </c>
      <c r="K10" s="33"/>
      <c r="L10" s="51">
        <f>J10-K10</f>
        <v>0</v>
      </c>
      <c r="N10" s="89"/>
      <c r="O10" s="90" t="s">
        <v>28</v>
      </c>
      <c r="P10" s="54">
        <f>SUM(P8:P9)</f>
        <v>0</v>
      </c>
      <c r="Q10" s="55">
        <f>P10-B10</f>
        <v>0</v>
      </c>
      <c r="R10" s="56" t="str">
        <f>IFERROR(Q10/B10,"")</f>
        <v/>
      </c>
    </row>
    <row r="11" spans="1:105" s="70" customFormat="1" ht="15.75" customHeight="1" x14ac:dyDescent="0.25">
      <c r="A11" s="64"/>
      <c r="B11" s="57" t="s">
        <v>29</v>
      </c>
      <c r="C11" s="58" t="s">
        <v>30</v>
      </c>
      <c r="D11" s="65"/>
      <c r="E11" s="65"/>
      <c r="F11" s="65"/>
      <c r="G11" s="65"/>
      <c r="H11" s="66"/>
      <c r="I11" s="91"/>
      <c r="J11" s="64"/>
      <c r="K11" s="64"/>
      <c r="L11" s="64"/>
      <c r="M11" s="64"/>
      <c r="N11" s="92" t="s">
        <v>31</v>
      </c>
      <c r="O11" s="92" t="s">
        <v>29</v>
      </c>
      <c r="P11" s="69" t="s">
        <v>32</v>
      </c>
      <c r="Q11" s="93" t="s">
        <v>33</v>
      </c>
      <c r="R11" s="93" t="s">
        <v>30</v>
      </c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  <c r="CG11" s="64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</row>
    <row r="12" spans="1:105" ht="15" customHeight="1" x14ac:dyDescent="0.25">
      <c r="B12" s="71"/>
      <c r="C12" s="71"/>
      <c r="D12" s="71"/>
      <c r="E12" s="71"/>
      <c r="F12" s="71"/>
      <c r="G12" s="71"/>
      <c r="H12" s="71"/>
      <c r="I12" s="72"/>
      <c r="J12" s="72"/>
      <c r="K12" s="72"/>
      <c r="L12" s="72"/>
      <c r="M12" s="72"/>
      <c r="N12" s="73" t="str">
        <f t="shared" ref="N12:N75" si="0">IF(B12&lt;&gt;"",20%,"")</f>
        <v/>
      </c>
      <c r="O12" s="43" t="str">
        <f t="shared" ref="O12:O75" si="1">IF(B12&lt;&gt;"",ROUND(B12*(1+N12),2),"")</f>
        <v/>
      </c>
      <c r="P12" s="71"/>
      <c r="Q12" s="75" t="str">
        <f t="shared" ref="Q12:Q75" si="2">IF(C12&lt;&gt;"",110,"")</f>
        <v/>
      </c>
      <c r="R12" s="43" t="str">
        <f t="shared" ref="R12:R75" si="3">IF(OR(P12="",Q12=""),"",ROUND(P12*Q12,2))</f>
        <v/>
      </c>
    </row>
    <row r="13" spans="1:105" ht="15" customHeight="1" x14ac:dyDescent="0.25">
      <c r="B13" s="71"/>
      <c r="C13" s="71"/>
      <c r="D13" s="71"/>
      <c r="E13" s="71"/>
      <c r="F13" s="71"/>
      <c r="G13" s="71"/>
      <c r="H13" s="71"/>
      <c r="I13" s="72"/>
      <c r="J13" s="72"/>
      <c r="K13" s="72"/>
      <c r="L13" s="72"/>
      <c r="M13" s="72"/>
      <c r="N13" s="73" t="str">
        <f t="shared" si="0"/>
        <v/>
      </c>
      <c r="O13" s="43" t="str">
        <f t="shared" si="1"/>
        <v/>
      </c>
      <c r="P13" s="71"/>
      <c r="Q13" s="75" t="str">
        <f t="shared" si="2"/>
        <v/>
      </c>
      <c r="R13" s="43" t="str">
        <f t="shared" si="3"/>
        <v/>
      </c>
    </row>
    <row r="14" spans="1:105" ht="15" customHeight="1" x14ac:dyDescent="0.25">
      <c r="B14" s="71"/>
      <c r="C14" s="71"/>
      <c r="D14" s="71"/>
      <c r="E14" s="71"/>
      <c r="F14" s="71"/>
      <c r="G14" s="71"/>
      <c r="H14" s="71"/>
      <c r="I14" s="72"/>
      <c r="J14" s="72"/>
      <c r="K14" s="72"/>
      <c r="L14" s="72"/>
      <c r="M14" s="72"/>
      <c r="N14" s="73" t="str">
        <f t="shared" si="0"/>
        <v/>
      </c>
      <c r="O14" s="43" t="str">
        <f t="shared" si="1"/>
        <v/>
      </c>
      <c r="P14" s="71"/>
      <c r="Q14" s="75" t="str">
        <f t="shared" si="2"/>
        <v/>
      </c>
      <c r="R14" s="43" t="str">
        <f t="shared" si="3"/>
        <v/>
      </c>
    </row>
    <row r="15" spans="1:105" ht="15" customHeight="1" x14ac:dyDescent="0.25">
      <c r="B15" s="71"/>
      <c r="C15" s="71"/>
      <c r="D15" s="71"/>
      <c r="E15" s="71"/>
      <c r="F15" s="71"/>
      <c r="G15" s="71"/>
      <c r="H15" s="71"/>
      <c r="I15" s="72"/>
      <c r="J15" s="72"/>
      <c r="K15" s="72"/>
      <c r="L15" s="72"/>
      <c r="M15" s="72"/>
      <c r="N15" s="73" t="str">
        <f t="shared" si="0"/>
        <v/>
      </c>
      <c r="O15" s="43" t="str">
        <f t="shared" si="1"/>
        <v/>
      </c>
      <c r="P15" s="71"/>
      <c r="Q15" s="75" t="str">
        <f t="shared" si="2"/>
        <v/>
      </c>
      <c r="R15" s="43" t="str">
        <f t="shared" si="3"/>
        <v/>
      </c>
    </row>
    <row r="16" spans="1:105" ht="15" customHeight="1" x14ac:dyDescent="0.25">
      <c r="B16" s="71"/>
      <c r="C16" s="71"/>
      <c r="D16" s="71"/>
      <c r="E16" s="71"/>
      <c r="F16" s="71"/>
      <c r="G16" s="71"/>
      <c r="H16" s="71"/>
      <c r="I16" s="72"/>
      <c r="J16" s="72"/>
      <c r="K16" s="72"/>
      <c r="L16" s="72"/>
      <c r="M16" s="72"/>
      <c r="N16" s="73" t="str">
        <f t="shared" si="0"/>
        <v/>
      </c>
      <c r="O16" s="43" t="str">
        <f t="shared" si="1"/>
        <v/>
      </c>
      <c r="P16" s="71"/>
      <c r="Q16" s="75" t="str">
        <f t="shared" si="2"/>
        <v/>
      </c>
      <c r="R16" s="43" t="str">
        <f t="shared" si="3"/>
        <v/>
      </c>
    </row>
    <row r="17" spans="2:18" ht="15" customHeight="1" x14ac:dyDescent="0.25">
      <c r="B17" s="71"/>
      <c r="C17" s="71"/>
      <c r="D17" s="71"/>
      <c r="E17" s="71"/>
      <c r="F17" s="71"/>
      <c r="G17" s="71"/>
      <c r="H17" s="71"/>
      <c r="I17" s="72"/>
      <c r="J17" s="72"/>
      <c r="K17" s="72"/>
      <c r="L17" s="72"/>
      <c r="M17" s="72"/>
      <c r="N17" s="73" t="str">
        <f t="shared" si="0"/>
        <v/>
      </c>
      <c r="O17" s="43" t="str">
        <f t="shared" si="1"/>
        <v/>
      </c>
      <c r="P17" s="71"/>
      <c r="Q17" s="75" t="str">
        <f t="shared" si="2"/>
        <v/>
      </c>
      <c r="R17" s="43" t="str">
        <f t="shared" si="3"/>
        <v/>
      </c>
    </row>
    <row r="18" spans="2:18" ht="15" customHeight="1" x14ac:dyDescent="0.25">
      <c r="B18" s="71"/>
      <c r="C18" s="71"/>
      <c r="D18" s="71"/>
      <c r="E18" s="71"/>
      <c r="F18" s="71"/>
      <c r="G18" s="71"/>
      <c r="H18" s="71"/>
      <c r="I18" s="72"/>
      <c r="J18" s="72"/>
      <c r="K18" s="72"/>
      <c r="L18" s="72"/>
      <c r="M18" s="72"/>
      <c r="N18" s="73" t="str">
        <f t="shared" si="0"/>
        <v/>
      </c>
      <c r="O18" s="43" t="str">
        <f t="shared" si="1"/>
        <v/>
      </c>
      <c r="P18" s="71"/>
      <c r="Q18" s="75" t="str">
        <f t="shared" si="2"/>
        <v/>
      </c>
      <c r="R18" s="43" t="str">
        <f t="shared" si="3"/>
        <v/>
      </c>
    </row>
    <row r="19" spans="2:18" ht="15" customHeight="1" x14ac:dyDescent="0.25">
      <c r="B19" s="71"/>
      <c r="C19" s="71"/>
      <c r="D19" s="71"/>
      <c r="E19" s="71"/>
      <c r="F19" s="71"/>
      <c r="G19" s="71"/>
      <c r="H19" s="71"/>
      <c r="I19" s="72"/>
      <c r="J19" s="72"/>
      <c r="K19" s="72"/>
      <c r="L19" s="72"/>
      <c r="M19" s="72"/>
      <c r="N19" s="73" t="str">
        <f t="shared" si="0"/>
        <v/>
      </c>
      <c r="O19" s="43" t="str">
        <f t="shared" si="1"/>
        <v/>
      </c>
      <c r="P19" s="71"/>
      <c r="Q19" s="75" t="str">
        <f t="shared" si="2"/>
        <v/>
      </c>
      <c r="R19" s="43" t="str">
        <f t="shared" si="3"/>
        <v/>
      </c>
    </row>
    <row r="20" spans="2:18" ht="15" customHeight="1" x14ac:dyDescent="0.25">
      <c r="B20" s="71"/>
      <c r="C20" s="71"/>
      <c r="D20" s="71"/>
      <c r="E20" s="71"/>
      <c r="F20" s="71"/>
      <c r="G20" s="71"/>
      <c r="H20" s="71"/>
      <c r="I20" s="72"/>
      <c r="J20" s="72"/>
      <c r="K20" s="72"/>
      <c r="L20" s="72"/>
      <c r="M20" s="72"/>
      <c r="N20" s="73" t="str">
        <f t="shared" si="0"/>
        <v/>
      </c>
      <c r="O20" s="43" t="str">
        <f t="shared" si="1"/>
        <v/>
      </c>
      <c r="P20" s="71"/>
      <c r="Q20" s="75" t="str">
        <f t="shared" si="2"/>
        <v/>
      </c>
      <c r="R20" s="43" t="str">
        <f t="shared" si="3"/>
        <v/>
      </c>
    </row>
    <row r="21" spans="2:18" ht="15" customHeight="1" x14ac:dyDescent="0.25">
      <c r="B21" s="71"/>
      <c r="C21" s="71"/>
      <c r="D21" s="71"/>
      <c r="E21" s="71"/>
      <c r="F21" s="71"/>
      <c r="G21" s="71"/>
      <c r="H21" s="71"/>
      <c r="I21" s="72"/>
      <c r="J21" s="72"/>
      <c r="K21" s="72"/>
      <c r="L21" s="72"/>
      <c r="M21" s="72"/>
      <c r="N21" s="73" t="str">
        <f t="shared" si="0"/>
        <v/>
      </c>
      <c r="O21" s="43" t="str">
        <f t="shared" si="1"/>
        <v/>
      </c>
      <c r="P21" s="71"/>
      <c r="Q21" s="75" t="str">
        <f t="shared" si="2"/>
        <v/>
      </c>
      <c r="R21" s="43" t="str">
        <f t="shared" si="3"/>
        <v/>
      </c>
    </row>
    <row r="22" spans="2:18" ht="15" customHeight="1" x14ac:dyDescent="0.25">
      <c r="B22" s="71"/>
      <c r="C22" s="71"/>
      <c r="D22" s="71"/>
      <c r="E22" s="71"/>
      <c r="F22" s="71"/>
      <c r="G22" s="71"/>
      <c r="H22" s="71"/>
      <c r="I22" s="72"/>
      <c r="J22" s="72"/>
      <c r="K22" s="72"/>
      <c r="L22" s="72"/>
      <c r="M22" s="72"/>
      <c r="N22" s="73" t="str">
        <f t="shared" si="0"/>
        <v/>
      </c>
      <c r="O22" s="43" t="str">
        <f t="shared" si="1"/>
        <v/>
      </c>
      <c r="P22" s="71"/>
      <c r="Q22" s="75" t="str">
        <f t="shared" si="2"/>
        <v/>
      </c>
      <c r="R22" s="43" t="str">
        <f t="shared" si="3"/>
        <v/>
      </c>
    </row>
    <row r="23" spans="2:18" ht="15" customHeight="1" x14ac:dyDescent="0.25">
      <c r="B23" s="71"/>
      <c r="C23" s="71"/>
      <c r="D23" s="71"/>
      <c r="E23" s="71"/>
      <c r="F23" s="71"/>
      <c r="G23" s="71"/>
      <c r="H23" s="71"/>
      <c r="I23" s="72"/>
      <c r="J23" s="72"/>
      <c r="K23" s="72"/>
      <c r="L23" s="72"/>
      <c r="M23" s="72"/>
      <c r="N23" s="73" t="str">
        <f t="shared" si="0"/>
        <v/>
      </c>
      <c r="O23" s="43" t="str">
        <f t="shared" si="1"/>
        <v/>
      </c>
      <c r="P23" s="71"/>
      <c r="Q23" s="75" t="str">
        <f t="shared" si="2"/>
        <v/>
      </c>
      <c r="R23" s="43" t="str">
        <f t="shared" si="3"/>
        <v/>
      </c>
    </row>
    <row r="24" spans="2:18" ht="15" customHeight="1" x14ac:dyDescent="0.25">
      <c r="B24" s="71"/>
      <c r="C24" s="71"/>
      <c r="D24" s="71"/>
      <c r="E24" s="71"/>
      <c r="F24" s="71"/>
      <c r="G24" s="71"/>
      <c r="H24" s="71"/>
      <c r="I24" s="72"/>
      <c r="J24" s="72"/>
      <c r="K24" s="72"/>
      <c r="L24" s="72"/>
      <c r="M24" s="72"/>
      <c r="N24" s="73" t="str">
        <f t="shared" si="0"/>
        <v/>
      </c>
      <c r="O24" s="43" t="str">
        <f t="shared" si="1"/>
        <v/>
      </c>
      <c r="P24" s="71"/>
      <c r="Q24" s="75" t="str">
        <f t="shared" si="2"/>
        <v/>
      </c>
      <c r="R24" s="43" t="str">
        <f t="shared" si="3"/>
        <v/>
      </c>
    </row>
    <row r="25" spans="2:18" ht="15" customHeight="1" x14ac:dyDescent="0.25">
      <c r="B25" s="71"/>
      <c r="C25" s="71"/>
      <c r="D25" s="71"/>
      <c r="E25" s="71"/>
      <c r="F25" s="71"/>
      <c r="G25" s="71"/>
      <c r="H25" s="71"/>
      <c r="I25" s="72"/>
      <c r="J25" s="72"/>
      <c r="K25" s="72"/>
      <c r="L25" s="72"/>
      <c r="M25" s="72"/>
      <c r="N25" s="73" t="str">
        <f t="shared" si="0"/>
        <v/>
      </c>
      <c r="O25" s="43" t="str">
        <f t="shared" si="1"/>
        <v/>
      </c>
      <c r="P25" s="71"/>
      <c r="Q25" s="75" t="str">
        <f t="shared" si="2"/>
        <v/>
      </c>
      <c r="R25" s="43" t="str">
        <f t="shared" si="3"/>
        <v/>
      </c>
    </row>
    <row r="26" spans="2:18" ht="15" customHeight="1" x14ac:dyDescent="0.25">
      <c r="B26" s="71"/>
      <c r="C26" s="71"/>
      <c r="D26" s="71"/>
      <c r="E26" s="71"/>
      <c r="F26" s="71"/>
      <c r="G26" s="71"/>
      <c r="H26" s="71"/>
      <c r="I26" s="72"/>
      <c r="J26" s="72"/>
      <c r="K26" s="72"/>
      <c r="L26" s="72"/>
      <c r="M26" s="72"/>
      <c r="N26" s="73" t="str">
        <f t="shared" si="0"/>
        <v/>
      </c>
      <c r="O26" s="43" t="str">
        <f t="shared" si="1"/>
        <v/>
      </c>
      <c r="P26" s="71"/>
      <c r="Q26" s="75" t="str">
        <f t="shared" si="2"/>
        <v/>
      </c>
      <c r="R26" s="43" t="str">
        <f t="shared" si="3"/>
        <v/>
      </c>
    </row>
    <row r="27" spans="2:18" ht="15" customHeight="1" x14ac:dyDescent="0.25">
      <c r="B27" s="71"/>
      <c r="C27" s="71"/>
      <c r="D27" s="71"/>
      <c r="E27" s="71"/>
      <c r="F27" s="71"/>
      <c r="G27" s="71"/>
      <c r="H27" s="71"/>
      <c r="I27" s="72"/>
      <c r="J27" s="72"/>
      <c r="K27" s="72"/>
      <c r="L27" s="72"/>
      <c r="M27" s="72"/>
      <c r="N27" s="73" t="str">
        <f t="shared" si="0"/>
        <v/>
      </c>
      <c r="O27" s="43" t="str">
        <f t="shared" si="1"/>
        <v/>
      </c>
      <c r="P27" s="71"/>
      <c r="Q27" s="75" t="str">
        <f t="shared" si="2"/>
        <v/>
      </c>
      <c r="R27" s="43" t="str">
        <f t="shared" si="3"/>
        <v/>
      </c>
    </row>
    <row r="28" spans="2:18" ht="15" customHeight="1" x14ac:dyDescent="0.25">
      <c r="B28" s="71"/>
      <c r="C28" s="71"/>
      <c r="D28" s="71"/>
      <c r="E28" s="71"/>
      <c r="F28" s="71"/>
      <c r="G28" s="71"/>
      <c r="H28" s="71"/>
      <c r="I28" s="72"/>
      <c r="J28" s="72"/>
      <c r="K28" s="72"/>
      <c r="L28" s="72"/>
      <c r="M28" s="72"/>
      <c r="N28" s="73" t="str">
        <f t="shared" si="0"/>
        <v/>
      </c>
      <c r="O28" s="43" t="str">
        <f t="shared" si="1"/>
        <v/>
      </c>
      <c r="P28" s="71"/>
      <c r="Q28" s="75" t="str">
        <f t="shared" si="2"/>
        <v/>
      </c>
      <c r="R28" s="43" t="str">
        <f t="shared" si="3"/>
        <v/>
      </c>
    </row>
    <row r="29" spans="2:18" ht="15" customHeight="1" x14ac:dyDescent="0.25">
      <c r="B29" s="71"/>
      <c r="C29" s="71"/>
      <c r="D29" s="71"/>
      <c r="E29" s="71"/>
      <c r="F29" s="71"/>
      <c r="G29" s="71"/>
      <c r="H29" s="71"/>
      <c r="I29" s="72"/>
      <c r="J29" s="72"/>
      <c r="K29" s="72"/>
      <c r="L29" s="72"/>
      <c r="M29" s="72"/>
      <c r="N29" s="73" t="str">
        <f t="shared" si="0"/>
        <v/>
      </c>
      <c r="O29" s="43" t="str">
        <f t="shared" si="1"/>
        <v/>
      </c>
      <c r="P29" s="71"/>
      <c r="Q29" s="75" t="str">
        <f t="shared" si="2"/>
        <v/>
      </c>
      <c r="R29" s="43" t="str">
        <f t="shared" si="3"/>
        <v/>
      </c>
    </row>
    <row r="30" spans="2:18" ht="15" customHeight="1" x14ac:dyDescent="0.25">
      <c r="B30" s="71"/>
      <c r="C30" s="71"/>
      <c r="D30" s="71"/>
      <c r="E30" s="71"/>
      <c r="F30" s="71"/>
      <c r="G30" s="71"/>
      <c r="H30" s="71"/>
      <c r="I30" s="72"/>
      <c r="J30" s="72"/>
      <c r="K30" s="72"/>
      <c r="L30" s="72"/>
      <c r="M30" s="72"/>
      <c r="N30" s="73" t="str">
        <f t="shared" si="0"/>
        <v/>
      </c>
      <c r="O30" s="43" t="str">
        <f t="shared" si="1"/>
        <v/>
      </c>
      <c r="P30" s="71"/>
      <c r="Q30" s="75" t="str">
        <f t="shared" si="2"/>
        <v/>
      </c>
      <c r="R30" s="43" t="str">
        <f t="shared" si="3"/>
        <v/>
      </c>
    </row>
    <row r="31" spans="2:18" ht="15" customHeight="1" x14ac:dyDescent="0.25">
      <c r="B31" s="71"/>
      <c r="C31" s="71"/>
      <c r="D31" s="71"/>
      <c r="E31" s="71"/>
      <c r="F31" s="71"/>
      <c r="G31" s="71"/>
      <c r="H31" s="71"/>
      <c r="I31" s="72"/>
      <c r="J31" s="72"/>
      <c r="K31" s="72"/>
      <c r="L31" s="72"/>
      <c r="M31" s="72"/>
      <c r="N31" s="73" t="str">
        <f t="shared" si="0"/>
        <v/>
      </c>
      <c r="O31" s="43" t="str">
        <f t="shared" si="1"/>
        <v/>
      </c>
      <c r="P31" s="71"/>
      <c r="Q31" s="75" t="str">
        <f t="shared" si="2"/>
        <v/>
      </c>
      <c r="R31" s="43" t="str">
        <f t="shared" si="3"/>
        <v/>
      </c>
    </row>
    <row r="32" spans="2:18" ht="15" customHeight="1" x14ac:dyDescent="0.25">
      <c r="B32" s="71"/>
      <c r="C32" s="71"/>
      <c r="D32" s="71"/>
      <c r="E32" s="71"/>
      <c r="F32" s="71"/>
      <c r="G32" s="71"/>
      <c r="H32" s="71"/>
      <c r="I32" s="72"/>
      <c r="J32" s="72"/>
      <c r="K32" s="72"/>
      <c r="L32" s="72"/>
      <c r="M32" s="72"/>
      <c r="N32" s="73" t="str">
        <f t="shared" si="0"/>
        <v/>
      </c>
      <c r="O32" s="43" t="str">
        <f t="shared" si="1"/>
        <v/>
      </c>
      <c r="P32" s="71"/>
      <c r="Q32" s="75" t="str">
        <f t="shared" si="2"/>
        <v/>
      </c>
      <c r="R32" s="43" t="str">
        <f t="shared" si="3"/>
        <v/>
      </c>
    </row>
    <row r="33" spans="2:18" ht="15" customHeight="1" x14ac:dyDescent="0.25">
      <c r="B33" s="71"/>
      <c r="C33" s="71"/>
      <c r="D33" s="71"/>
      <c r="E33" s="71"/>
      <c r="F33" s="71"/>
      <c r="G33" s="71"/>
      <c r="H33" s="71"/>
      <c r="I33" s="72"/>
      <c r="J33" s="72"/>
      <c r="K33" s="72"/>
      <c r="L33" s="72"/>
      <c r="M33" s="72"/>
      <c r="N33" s="73" t="str">
        <f t="shared" si="0"/>
        <v/>
      </c>
      <c r="O33" s="43" t="str">
        <f t="shared" si="1"/>
        <v/>
      </c>
      <c r="P33" s="71"/>
      <c r="Q33" s="75" t="str">
        <f t="shared" si="2"/>
        <v/>
      </c>
      <c r="R33" s="43" t="str">
        <f t="shared" si="3"/>
        <v/>
      </c>
    </row>
    <row r="34" spans="2:18" ht="15" customHeight="1" x14ac:dyDescent="0.25">
      <c r="B34" s="71"/>
      <c r="C34" s="71"/>
      <c r="D34" s="71"/>
      <c r="E34" s="71"/>
      <c r="F34" s="71"/>
      <c r="G34" s="71"/>
      <c r="H34" s="71"/>
      <c r="I34" s="72"/>
      <c r="J34" s="72"/>
      <c r="K34" s="72"/>
      <c r="L34" s="72"/>
      <c r="M34" s="72"/>
      <c r="N34" s="73" t="str">
        <f t="shared" si="0"/>
        <v/>
      </c>
      <c r="O34" s="43" t="str">
        <f t="shared" si="1"/>
        <v/>
      </c>
      <c r="P34" s="71"/>
      <c r="Q34" s="75" t="str">
        <f t="shared" si="2"/>
        <v/>
      </c>
      <c r="R34" s="43" t="str">
        <f t="shared" si="3"/>
        <v/>
      </c>
    </row>
    <row r="35" spans="2:18" ht="15" customHeight="1" x14ac:dyDescent="0.25">
      <c r="B35" s="71"/>
      <c r="C35" s="71"/>
      <c r="D35" s="71"/>
      <c r="E35" s="71"/>
      <c r="F35" s="71"/>
      <c r="G35" s="71"/>
      <c r="H35" s="71"/>
      <c r="I35" s="72"/>
      <c r="J35" s="72"/>
      <c r="K35" s="72"/>
      <c r="L35" s="72"/>
      <c r="M35" s="72"/>
      <c r="N35" s="73" t="str">
        <f t="shared" si="0"/>
        <v/>
      </c>
      <c r="O35" s="43" t="str">
        <f t="shared" si="1"/>
        <v/>
      </c>
      <c r="P35" s="71"/>
      <c r="Q35" s="75" t="str">
        <f t="shared" si="2"/>
        <v/>
      </c>
      <c r="R35" s="43" t="str">
        <f t="shared" si="3"/>
        <v/>
      </c>
    </row>
    <row r="36" spans="2:18" ht="15" customHeight="1" x14ac:dyDescent="0.25">
      <c r="B36" s="71"/>
      <c r="C36" s="71"/>
      <c r="D36" s="71"/>
      <c r="E36" s="71"/>
      <c r="F36" s="71"/>
      <c r="G36" s="71"/>
      <c r="H36" s="71"/>
      <c r="I36" s="72"/>
      <c r="J36" s="72"/>
      <c r="K36" s="72"/>
      <c r="L36" s="72"/>
      <c r="M36" s="72"/>
      <c r="N36" s="73" t="str">
        <f t="shared" si="0"/>
        <v/>
      </c>
      <c r="O36" s="43" t="str">
        <f t="shared" si="1"/>
        <v/>
      </c>
      <c r="P36" s="71"/>
      <c r="Q36" s="75" t="str">
        <f t="shared" si="2"/>
        <v/>
      </c>
      <c r="R36" s="43" t="str">
        <f t="shared" si="3"/>
        <v/>
      </c>
    </row>
    <row r="37" spans="2:18" ht="15" customHeight="1" x14ac:dyDescent="0.25">
      <c r="B37" s="71"/>
      <c r="C37" s="71"/>
      <c r="D37" s="71"/>
      <c r="E37" s="71"/>
      <c r="F37" s="71"/>
      <c r="G37" s="71"/>
      <c r="H37" s="71"/>
      <c r="I37" s="72"/>
      <c r="J37" s="72"/>
      <c r="K37" s="72"/>
      <c r="L37" s="72"/>
      <c r="M37" s="72"/>
      <c r="N37" s="73" t="str">
        <f t="shared" si="0"/>
        <v/>
      </c>
      <c r="O37" s="43" t="str">
        <f t="shared" si="1"/>
        <v/>
      </c>
      <c r="P37" s="71"/>
      <c r="Q37" s="75" t="str">
        <f t="shared" si="2"/>
        <v/>
      </c>
      <c r="R37" s="43" t="str">
        <f t="shared" si="3"/>
        <v/>
      </c>
    </row>
    <row r="38" spans="2:18" ht="15" customHeight="1" x14ac:dyDescent="0.25">
      <c r="B38" s="71"/>
      <c r="C38" s="71"/>
      <c r="D38" s="71"/>
      <c r="E38" s="71"/>
      <c r="F38" s="71"/>
      <c r="G38" s="71"/>
      <c r="H38" s="71"/>
      <c r="I38" s="72"/>
      <c r="J38" s="72"/>
      <c r="K38" s="72"/>
      <c r="L38" s="72"/>
      <c r="M38" s="72"/>
      <c r="N38" s="73" t="str">
        <f t="shared" si="0"/>
        <v/>
      </c>
      <c r="O38" s="43" t="str">
        <f t="shared" si="1"/>
        <v/>
      </c>
      <c r="P38" s="71"/>
      <c r="Q38" s="75" t="str">
        <f t="shared" si="2"/>
        <v/>
      </c>
      <c r="R38" s="43" t="str">
        <f t="shared" si="3"/>
        <v/>
      </c>
    </row>
    <row r="39" spans="2:18" ht="15" customHeight="1" x14ac:dyDescent="0.25">
      <c r="B39" s="71"/>
      <c r="C39" s="71"/>
      <c r="D39" s="71"/>
      <c r="E39" s="71"/>
      <c r="F39" s="71"/>
      <c r="G39" s="71"/>
      <c r="H39" s="71"/>
      <c r="I39" s="72"/>
      <c r="J39" s="72"/>
      <c r="K39" s="72"/>
      <c r="L39" s="72"/>
      <c r="M39" s="72"/>
      <c r="N39" s="73" t="str">
        <f t="shared" si="0"/>
        <v/>
      </c>
      <c r="O39" s="43" t="str">
        <f t="shared" si="1"/>
        <v/>
      </c>
      <c r="P39" s="71"/>
      <c r="Q39" s="75" t="str">
        <f t="shared" si="2"/>
        <v/>
      </c>
      <c r="R39" s="43" t="str">
        <f t="shared" si="3"/>
        <v/>
      </c>
    </row>
    <row r="40" spans="2:18" ht="15" customHeight="1" x14ac:dyDescent="0.25">
      <c r="B40" s="71"/>
      <c r="C40" s="71"/>
      <c r="D40" s="71"/>
      <c r="E40" s="71"/>
      <c r="F40" s="71"/>
      <c r="G40" s="71"/>
      <c r="H40" s="71"/>
      <c r="I40" s="72"/>
      <c r="J40" s="72"/>
      <c r="K40" s="72"/>
      <c r="L40" s="72"/>
      <c r="M40" s="72"/>
      <c r="N40" s="73" t="str">
        <f t="shared" si="0"/>
        <v/>
      </c>
      <c r="O40" s="43" t="str">
        <f t="shared" si="1"/>
        <v/>
      </c>
      <c r="P40" s="71"/>
      <c r="Q40" s="75" t="str">
        <f t="shared" si="2"/>
        <v/>
      </c>
      <c r="R40" s="43" t="str">
        <f t="shared" si="3"/>
        <v/>
      </c>
    </row>
    <row r="41" spans="2:18" ht="15" customHeight="1" x14ac:dyDescent="0.25">
      <c r="B41" s="71"/>
      <c r="C41" s="71"/>
      <c r="D41" s="71"/>
      <c r="E41" s="71"/>
      <c r="F41" s="71"/>
      <c r="G41" s="71"/>
      <c r="H41" s="71"/>
      <c r="I41" s="72"/>
      <c r="J41" s="72"/>
      <c r="K41" s="72"/>
      <c r="L41" s="72"/>
      <c r="M41" s="72"/>
      <c r="N41" s="73" t="str">
        <f t="shared" si="0"/>
        <v/>
      </c>
      <c r="O41" s="43" t="str">
        <f t="shared" si="1"/>
        <v/>
      </c>
      <c r="P41" s="71"/>
      <c r="Q41" s="75" t="str">
        <f t="shared" si="2"/>
        <v/>
      </c>
      <c r="R41" s="43" t="str">
        <f t="shared" si="3"/>
        <v/>
      </c>
    </row>
    <row r="42" spans="2:18" ht="15" customHeight="1" x14ac:dyDescent="0.25">
      <c r="B42" s="71"/>
      <c r="C42" s="71"/>
      <c r="D42" s="71"/>
      <c r="E42" s="71"/>
      <c r="F42" s="71"/>
      <c r="G42" s="71"/>
      <c r="H42" s="71"/>
      <c r="I42" s="72"/>
      <c r="J42" s="72"/>
      <c r="K42" s="72"/>
      <c r="L42" s="72"/>
      <c r="M42" s="72"/>
      <c r="N42" s="73" t="str">
        <f t="shared" si="0"/>
        <v/>
      </c>
      <c r="O42" s="43" t="str">
        <f t="shared" si="1"/>
        <v/>
      </c>
      <c r="P42" s="71"/>
      <c r="Q42" s="75" t="str">
        <f t="shared" si="2"/>
        <v/>
      </c>
      <c r="R42" s="43" t="str">
        <f t="shared" si="3"/>
        <v/>
      </c>
    </row>
    <row r="43" spans="2:18" ht="15" customHeight="1" x14ac:dyDescent="0.25">
      <c r="B43" s="71"/>
      <c r="C43" s="71"/>
      <c r="D43" s="71"/>
      <c r="E43" s="71"/>
      <c r="F43" s="71"/>
      <c r="G43" s="71"/>
      <c r="H43" s="71"/>
      <c r="I43" s="72"/>
      <c r="J43" s="72"/>
      <c r="K43" s="72"/>
      <c r="L43" s="72"/>
      <c r="M43" s="72"/>
      <c r="N43" s="73" t="str">
        <f t="shared" si="0"/>
        <v/>
      </c>
      <c r="O43" s="43" t="str">
        <f t="shared" si="1"/>
        <v/>
      </c>
      <c r="P43" s="71"/>
      <c r="Q43" s="75" t="str">
        <f t="shared" si="2"/>
        <v/>
      </c>
      <c r="R43" s="43" t="str">
        <f t="shared" si="3"/>
        <v/>
      </c>
    </row>
    <row r="44" spans="2:18" ht="15" customHeight="1" x14ac:dyDescent="0.25">
      <c r="B44" s="71"/>
      <c r="C44" s="71"/>
      <c r="D44" s="71"/>
      <c r="E44" s="71"/>
      <c r="F44" s="71"/>
      <c r="G44" s="71"/>
      <c r="H44" s="71"/>
      <c r="I44" s="72"/>
      <c r="J44" s="72"/>
      <c r="K44" s="72"/>
      <c r="L44" s="72"/>
      <c r="M44" s="72"/>
      <c r="N44" s="73" t="str">
        <f t="shared" si="0"/>
        <v/>
      </c>
      <c r="O44" s="43" t="str">
        <f t="shared" si="1"/>
        <v/>
      </c>
      <c r="P44" s="71"/>
      <c r="Q44" s="75" t="str">
        <f t="shared" si="2"/>
        <v/>
      </c>
      <c r="R44" s="43" t="str">
        <f t="shared" si="3"/>
        <v/>
      </c>
    </row>
    <row r="45" spans="2:18" ht="15" customHeight="1" x14ac:dyDescent="0.25">
      <c r="B45" s="71"/>
      <c r="C45" s="71"/>
      <c r="D45" s="71"/>
      <c r="E45" s="71"/>
      <c r="F45" s="71"/>
      <c r="G45" s="71"/>
      <c r="H45" s="71"/>
      <c r="I45" s="72"/>
      <c r="J45" s="72"/>
      <c r="K45" s="72"/>
      <c r="L45" s="72"/>
      <c r="M45" s="72"/>
      <c r="N45" s="73" t="str">
        <f t="shared" si="0"/>
        <v/>
      </c>
      <c r="O45" s="43" t="str">
        <f t="shared" si="1"/>
        <v/>
      </c>
      <c r="P45" s="71"/>
      <c r="Q45" s="75" t="str">
        <f t="shared" si="2"/>
        <v/>
      </c>
      <c r="R45" s="43" t="str">
        <f t="shared" si="3"/>
        <v/>
      </c>
    </row>
    <row r="46" spans="2:18" ht="15" customHeight="1" x14ac:dyDescent="0.25">
      <c r="B46" s="71"/>
      <c r="C46" s="71"/>
      <c r="D46" s="71"/>
      <c r="E46" s="71"/>
      <c r="F46" s="71"/>
      <c r="G46" s="71"/>
      <c r="H46" s="71"/>
      <c r="I46" s="72"/>
      <c r="J46" s="72"/>
      <c r="K46" s="72"/>
      <c r="L46" s="72"/>
      <c r="M46" s="72"/>
      <c r="N46" s="73" t="str">
        <f t="shared" si="0"/>
        <v/>
      </c>
      <c r="O46" s="43" t="str">
        <f t="shared" si="1"/>
        <v/>
      </c>
      <c r="P46" s="71"/>
      <c r="Q46" s="75" t="str">
        <f t="shared" si="2"/>
        <v/>
      </c>
      <c r="R46" s="43" t="str">
        <f t="shared" si="3"/>
        <v/>
      </c>
    </row>
    <row r="47" spans="2:18" ht="15" customHeight="1" x14ac:dyDescent="0.25">
      <c r="B47" s="71"/>
      <c r="C47" s="71"/>
      <c r="D47" s="71"/>
      <c r="E47" s="71"/>
      <c r="F47" s="71"/>
      <c r="G47" s="71"/>
      <c r="H47" s="71"/>
      <c r="I47" s="72"/>
      <c r="J47" s="72"/>
      <c r="K47" s="72"/>
      <c r="L47" s="72"/>
      <c r="M47" s="72"/>
      <c r="N47" s="73" t="str">
        <f t="shared" si="0"/>
        <v/>
      </c>
      <c r="O47" s="43" t="str">
        <f t="shared" si="1"/>
        <v/>
      </c>
      <c r="P47" s="71"/>
      <c r="Q47" s="75" t="str">
        <f t="shared" si="2"/>
        <v/>
      </c>
      <c r="R47" s="43" t="str">
        <f t="shared" si="3"/>
        <v/>
      </c>
    </row>
    <row r="48" spans="2:18" ht="15" customHeight="1" x14ac:dyDescent="0.25">
      <c r="B48" s="71"/>
      <c r="C48" s="71"/>
      <c r="D48" s="71"/>
      <c r="E48" s="71"/>
      <c r="F48" s="71"/>
      <c r="G48" s="71"/>
      <c r="H48" s="71"/>
      <c r="I48" s="72"/>
      <c r="J48" s="72"/>
      <c r="K48" s="72"/>
      <c r="L48" s="72"/>
      <c r="M48" s="72"/>
      <c r="N48" s="73" t="str">
        <f t="shared" si="0"/>
        <v/>
      </c>
      <c r="O48" s="43" t="str">
        <f t="shared" si="1"/>
        <v/>
      </c>
      <c r="P48" s="71"/>
      <c r="Q48" s="75" t="str">
        <f t="shared" si="2"/>
        <v/>
      </c>
      <c r="R48" s="43" t="str">
        <f t="shared" si="3"/>
        <v/>
      </c>
    </row>
    <row r="49" spans="2:18" ht="15" customHeight="1" x14ac:dyDescent="0.25">
      <c r="B49" s="71"/>
      <c r="C49" s="71"/>
      <c r="D49" s="71"/>
      <c r="E49" s="71"/>
      <c r="F49" s="71"/>
      <c r="G49" s="71"/>
      <c r="H49" s="71"/>
      <c r="I49" s="72"/>
      <c r="J49" s="72"/>
      <c r="K49" s="72"/>
      <c r="L49" s="72"/>
      <c r="M49" s="72"/>
      <c r="N49" s="73" t="str">
        <f t="shared" si="0"/>
        <v/>
      </c>
      <c r="O49" s="43" t="str">
        <f t="shared" si="1"/>
        <v/>
      </c>
      <c r="P49" s="71"/>
      <c r="Q49" s="75" t="str">
        <f t="shared" si="2"/>
        <v/>
      </c>
      <c r="R49" s="43" t="str">
        <f t="shared" si="3"/>
        <v/>
      </c>
    </row>
    <row r="50" spans="2:18" ht="15" customHeight="1" x14ac:dyDescent="0.25">
      <c r="B50" s="71"/>
      <c r="C50" s="71"/>
      <c r="D50" s="71"/>
      <c r="E50" s="71"/>
      <c r="F50" s="71"/>
      <c r="G50" s="71"/>
      <c r="H50" s="71"/>
      <c r="I50" s="72"/>
      <c r="J50" s="72"/>
      <c r="K50" s="72"/>
      <c r="L50" s="72"/>
      <c r="M50" s="72"/>
      <c r="N50" s="73" t="str">
        <f t="shared" si="0"/>
        <v/>
      </c>
      <c r="O50" s="43" t="str">
        <f t="shared" si="1"/>
        <v/>
      </c>
      <c r="P50" s="71"/>
      <c r="Q50" s="75" t="str">
        <f t="shared" si="2"/>
        <v/>
      </c>
      <c r="R50" s="43" t="str">
        <f t="shared" si="3"/>
        <v/>
      </c>
    </row>
    <row r="51" spans="2:18" ht="15" customHeight="1" x14ac:dyDescent="0.25">
      <c r="B51" s="71"/>
      <c r="C51" s="71"/>
      <c r="D51" s="71"/>
      <c r="E51" s="71"/>
      <c r="F51" s="71"/>
      <c r="G51" s="71"/>
      <c r="H51" s="71"/>
      <c r="I51" s="72"/>
      <c r="J51" s="72"/>
      <c r="K51" s="72"/>
      <c r="L51" s="72"/>
      <c r="M51" s="72"/>
      <c r="N51" s="73" t="str">
        <f t="shared" si="0"/>
        <v/>
      </c>
      <c r="O51" s="43" t="str">
        <f t="shared" si="1"/>
        <v/>
      </c>
      <c r="P51" s="71"/>
      <c r="Q51" s="75" t="str">
        <f t="shared" si="2"/>
        <v/>
      </c>
      <c r="R51" s="43" t="str">
        <f t="shared" si="3"/>
        <v/>
      </c>
    </row>
    <row r="52" spans="2:18" ht="15" customHeight="1" x14ac:dyDescent="0.25">
      <c r="B52" s="71"/>
      <c r="C52" s="71"/>
      <c r="D52" s="71"/>
      <c r="E52" s="71"/>
      <c r="F52" s="71"/>
      <c r="G52" s="71"/>
      <c r="H52" s="71"/>
      <c r="I52" s="72"/>
      <c r="J52" s="72"/>
      <c r="K52" s="72"/>
      <c r="L52" s="72"/>
      <c r="M52" s="72"/>
      <c r="N52" s="73" t="str">
        <f t="shared" si="0"/>
        <v/>
      </c>
      <c r="O52" s="43" t="str">
        <f t="shared" si="1"/>
        <v/>
      </c>
      <c r="P52" s="71"/>
      <c r="Q52" s="75" t="str">
        <f t="shared" si="2"/>
        <v/>
      </c>
      <c r="R52" s="43" t="str">
        <f t="shared" si="3"/>
        <v/>
      </c>
    </row>
    <row r="53" spans="2:18" ht="15" customHeight="1" x14ac:dyDescent="0.25">
      <c r="B53" s="71"/>
      <c r="C53" s="71"/>
      <c r="D53" s="71"/>
      <c r="E53" s="71"/>
      <c r="F53" s="71"/>
      <c r="G53" s="71"/>
      <c r="H53" s="71"/>
      <c r="I53" s="72"/>
      <c r="J53" s="72"/>
      <c r="K53" s="72"/>
      <c r="L53" s="72"/>
      <c r="M53" s="72"/>
      <c r="N53" s="73" t="str">
        <f t="shared" si="0"/>
        <v/>
      </c>
      <c r="O53" s="43" t="str">
        <f t="shared" si="1"/>
        <v/>
      </c>
      <c r="P53" s="71"/>
      <c r="Q53" s="75" t="str">
        <f t="shared" si="2"/>
        <v/>
      </c>
      <c r="R53" s="43" t="str">
        <f t="shared" si="3"/>
        <v/>
      </c>
    </row>
    <row r="54" spans="2:18" ht="15" customHeight="1" x14ac:dyDescent="0.25">
      <c r="B54" s="71"/>
      <c r="C54" s="71"/>
      <c r="D54" s="71"/>
      <c r="E54" s="71"/>
      <c r="F54" s="71"/>
      <c r="G54" s="71"/>
      <c r="H54" s="71"/>
      <c r="I54" s="72"/>
      <c r="J54" s="72"/>
      <c r="K54" s="72"/>
      <c r="L54" s="72"/>
      <c r="M54" s="72"/>
      <c r="N54" s="73" t="str">
        <f t="shared" si="0"/>
        <v/>
      </c>
      <c r="O54" s="43" t="str">
        <f t="shared" si="1"/>
        <v/>
      </c>
      <c r="P54" s="71"/>
      <c r="Q54" s="75" t="str">
        <f t="shared" si="2"/>
        <v/>
      </c>
      <c r="R54" s="43" t="str">
        <f t="shared" si="3"/>
        <v/>
      </c>
    </row>
    <row r="55" spans="2:18" ht="15" customHeight="1" x14ac:dyDescent="0.25">
      <c r="B55" s="71"/>
      <c r="C55" s="71"/>
      <c r="D55" s="71"/>
      <c r="E55" s="71"/>
      <c r="F55" s="71"/>
      <c r="G55" s="71"/>
      <c r="H55" s="71"/>
      <c r="I55" s="72"/>
      <c r="J55" s="72"/>
      <c r="K55" s="72"/>
      <c r="L55" s="72"/>
      <c r="M55" s="72"/>
      <c r="N55" s="73" t="str">
        <f t="shared" si="0"/>
        <v/>
      </c>
      <c r="O55" s="43" t="str">
        <f t="shared" si="1"/>
        <v/>
      </c>
      <c r="P55" s="71"/>
      <c r="Q55" s="75" t="str">
        <f t="shared" si="2"/>
        <v/>
      </c>
      <c r="R55" s="43" t="str">
        <f t="shared" si="3"/>
        <v/>
      </c>
    </row>
    <row r="56" spans="2:18" ht="15" customHeight="1" x14ac:dyDescent="0.25">
      <c r="B56" s="71"/>
      <c r="C56" s="71"/>
      <c r="D56" s="71"/>
      <c r="E56" s="71"/>
      <c r="F56" s="71"/>
      <c r="G56" s="71"/>
      <c r="H56" s="71"/>
      <c r="I56" s="72"/>
      <c r="J56" s="72"/>
      <c r="K56" s="72"/>
      <c r="L56" s="72"/>
      <c r="M56" s="72"/>
      <c r="N56" s="73" t="str">
        <f t="shared" si="0"/>
        <v/>
      </c>
      <c r="O56" s="43" t="str">
        <f t="shared" si="1"/>
        <v/>
      </c>
      <c r="P56" s="71"/>
      <c r="Q56" s="75" t="str">
        <f t="shared" si="2"/>
        <v/>
      </c>
      <c r="R56" s="43" t="str">
        <f t="shared" si="3"/>
        <v/>
      </c>
    </row>
    <row r="57" spans="2:18" ht="15" customHeight="1" x14ac:dyDescent="0.25">
      <c r="B57" s="71"/>
      <c r="C57" s="71"/>
      <c r="D57" s="71"/>
      <c r="E57" s="71"/>
      <c r="F57" s="71"/>
      <c r="G57" s="71"/>
      <c r="H57" s="71"/>
      <c r="I57" s="72"/>
      <c r="J57" s="72"/>
      <c r="K57" s="72"/>
      <c r="L57" s="72"/>
      <c r="M57" s="72"/>
      <c r="N57" s="73" t="str">
        <f t="shared" si="0"/>
        <v/>
      </c>
      <c r="O57" s="43" t="str">
        <f t="shared" si="1"/>
        <v/>
      </c>
      <c r="P57" s="71"/>
      <c r="Q57" s="75" t="str">
        <f t="shared" si="2"/>
        <v/>
      </c>
      <c r="R57" s="43" t="str">
        <f t="shared" si="3"/>
        <v/>
      </c>
    </row>
    <row r="58" spans="2:18" ht="15" customHeight="1" x14ac:dyDescent="0.25">
      <c r="B58" s="71"/>
      <c r="C58" s="71"/>
      <c r="D58" s="71"/>
      <c r="E58" s="71"/>
      <c r="F58" s="71"/>
      <c r="G58" s="71"/>
      <c r="H58" s="71"/>
      <c r="I58" s="72"/>
      <c r="J58" s="72"/>
      <c r="K58" s="72"/>
      <c r="L58" s="72"/>
      <c r="M58" s="72"/>
      <c r="N58" s="73" t="str">
        <f t="shared" si="0"/>
        <v/>
      </c>
      <c r="O58" s="43" t="str">
        <f t="shared" si="1"/>
        <v/>
      </c>
      <c r="P58" s="71"/>
      <c r="Q58" s="75" t="str">
        <f t="shared" si="2"/>
        <v/>
      </c>
      <c r="R58" s="43" t="str">
        <f t="shared" si="3"/>
        <v/>
      </c>
    </row>
    <row r="59" spans="2:18" ht="15" customHeight="1" x14ac:dyDescent="0.25">
      <c r="B59" s="71"/>
      <c r="C59" s="71"/>
      <c r="D59" s="71"/>
      <c r="E59" s="71"/>
      <c r="F59" s="71"/>
      <c r="G59" s="71"/>
      <c r="H59" s="71"/>
      <c r="I59" s="72"/>
      <c r="J59" s="72"/>
      <c r="K59" s="72"/>
      <c r="L59" s="72"/>
      <c r="M59" s="72"/>
      <c r="N59" s="73" t="str">
        <f t="shared" si="0"/>
        <v/>
      </c>
      <c r="O59" s="43" t="str">
        <f t="shared" si="1"/>
        <v/>
      </c>
      <c r="P59" s="71"/>
      <c r="Q59" s="75" t="str">
        <f t="shared" si="2"/>
        <v/>
      </c>
      <c r="R59" s="43" t="str">
        <f t="shared" si="3"/>
        <v/>
      </c>
    </row>
    <row r="60" spans="2:18" ht="15" customHeight="1" x14ac:dyDescent="0.25">
      <c r="B60" s="71"/>
      <c r="C60" s="71"/>
      <c r="D60" s="71"/>
      <c r="E60" s="71"/>
      <c r="F60" s="71"/>
      <c r="G60" s="71"/>
      <c r="H60" s="71"/>
      <c r="I60" s="72"/>
      <c r="J60" s="72"/>
      <c r="K60" s="72"/>
      <c r="L60" s="72"/>
      <c r="M60" s="72"/>
      <c r="N60" s="73" t="str">
        <f t="shared" si="0"/>
        <v/>
      </c>
      <c r="O60" s="43" t="str">
        <f t="shared" si="1"/>
        <v/>
      </c>
      <c r="P60" s="71"/>
      <c r="Q60" s="75" t="str">
        <f t="shared" si="2"/>
        <v/>
      </c>
      <c r="R60" s="43" t="str">
        <f t="shared" si="3"/>
        <v/>
      </c>
    </row>
    <row r="61" spans="2:18" ht="15" customHeight="1" x14ac:dyDescent="0.25">
      <c r="B61" s="71"/>
      <c r="C61" s="71"/>
      <c r="D61" s="71"/>
      <c r="E61" s="71"/>
      <c r="F61" s="71"/>
      <c r="G61" s="71"/>
      <c r="H61" s="71"/>
      <c r="I61" s="72"/>
      <c r="J61" s="72"/>
      <c r="K61" s="72"/>
      <c r="L61" s="72"/>
      <c r="M61" s="72"/>
      <c r="N61" s="73" t="str">
        <f t="shared" si="0"/>
        <v/>
      </c>
      <c r="O61" s="43" t="str">
        <f t="shared" si="1"/>
        <v/>
      </c>
      <c r="P61" s="71"/>
      <c r="Q61" s="75" t="str">
        <f t="shared" si="2"/>
        <v/>
      </c>
      <c r="R61" s="43" t="str">
        <f t="shared" si="3"/>
        <v/>
      </c>
    </row>
    <row r="62" spans="2:18" ht="15" customHeight="1" x14ac:dyDescent="0.25">
      <c r="B62" s="71"/>
      <c r="C62" s="71"/>
      <c r="D62" s="71"/>
      <c r="E62" s="71"/>
      <c r="F62" s="71"/>
      <c r="G62" s="71"/>
      <c r="H62" s="71"/>
      <c r="I62" s="72"/>
      <c r="J62" s="72"/>
      <c r="K62" s="72"/>
      <c r="L62" s="72"/>
      <c r="M62" s="72"/>
      <c r="N62" s="73" t="str">
        <f t="shared" si="0"/>
        <v/>
      </c>
      <c r="O62" s="43" t="str">
        <f t="shared" si="1"/>
        <v/>
      </c>
      <c r="P62" s="71"/>
      <c r="Q62" s="75" t="str">
        <f t="shared" si="2"/>
        <v/>
      </c>
      <c r="R62" s="43" t="str">
        <f t="shared" si="3"/>
        <v/>
      </c>
    </row>
    <row r="63" spans="2:18" ht="15" customHeight="1" x14ac:dyDescent="0.25">
      <c r="B63" s="71"/>
      <c r="C63" s="71"/>
      <c r="D63" s="71"/>
      <c r="E63" s="71"/>
      <c r="F63" s="71"/>
      <c r="G63" s="71"/>
      <c r="H63" s="71"/>
      <c r="I63" s="72"/>
      <c r="J63" s="72"/>
      <c r="K63" s="72"/>
      <c r="L63" s="72"/>
      <c r="M63" s="72"/>
      <c r="N63" s="73" t="str">
        <f t="shared" si="0"/>
        <v/>
      </c>
      <c r="O63" s="43" t="str">
        <f t="shared" si="1"/>
        <v/>
      </c>
      <c r="P63" s="71"/>
      <c r="Q63" s="75" t="str">
        <f t="shared" si="2"/>
        <v/>
      </c>
      <c r="R63" s="43" t="str">
        <f t="shared" si="3"/>
        <v/>
      </c>
    </row>
    <row r="64" spans="2:18" ht="15" customHeight="1" x14ac:dyDescent="0.25">
      <c r="B64" s="71"/>
      <c r="C64" s="71"/>
      <c r="D64" s="71"/>
      <c r="E64" s="71"/>
      <c r="F64" s="71"/>
      <c r="G64" s="71"/>
      <c r="H64" s="71"/>
      <c r="I64" s="72"/>
      <c r="J64" s="72"/>
      <c r="K64" s="72"/>
      <c r="L64" s="72"/>
      <c r="M64" s="72"/>
      <c r="N64" s="73" t="str">
        <f t="shared" si="0"/>
        <v/>
      </c>
      <c r="O64" s="43" t="str">
        <f t="shared" si="1"/>
        <v/>
      </c>
      <c r="P64" s="71"/>
      <c r="Q64" s="75" t="str">
        <f t="shared" si="2"/>
        <v/>
      </c>
      <c r="R64" s="43" t="str">
        <f t="shared" si="3"/>
        <v/>
      </c>
    </row>
    <row r="65" spans="2:18" ht="15" customHeight="1" x14ac:dyDescent="0.25">
      <c r="B65" s="71"/>
      <c r="C65" s="71"/>
      <c r="D65" s="71"/>
      <c r="E65" s="71"/>
      <c r="F65" s="71"/>
      <c r="G65" s="71"/>
      <c r="H65" s="71"/>
      <c r="I65" s="72"/>
      <c r="J65" s="72"/>
      <c r="K65" s="72"/>
      <c r="L65" s="72"/>
      <c r="M65" s="72"/>
      <c r="N65" s="73" t="str">
        <f t="shared" si="0"/>
        <v/>
      </c>
      <c r="O65" s="43" t="str">
        <f t="shared" si="1"/>
        <v/>
      </c>
      <c r="P65" s="71"/>
      <c r="Q65" s="75" t="str">
        <f t="shared" si="2"/>
        <v/>
      </c>
      <c r="R65" s="43" t="str">
        <f t="shared" si="3"/>
        <v/>
      </c>
    </row>
    <row r="66" spans="2:18" ht="15" customHeight="1" x14ac:dyDescent="0.25">
      <c r="B66" s="71"/>
      <c r="C66" s="71"/>
      <c r="D66" s="71"/>
      <c r="E66" s="71"/>
      <c r="F66" s="71"/>
      <c r="G66" s="71"/>
      <c r="H66" s="71"/>
      <c r="I66" s="72"/>
      <c r="J66" s="72"/>
      <c r="K66" s="72"/>
      <c r="L66" s="72"/>
      <c r="M66" s="72"/>
      <c r="N66" s="73" t="str">
        <f t="shared" si="0"/>
        <v/>
      </c>
      <c r="O66" s="43" t="str">
        <f t="shared" si="1"/>
        <v/>
      </c>
      <c r="P66" s="71"/>
      <c r="Q66" s="75" t="str">
        <f t="shared" si="2"/>
        <v/>
      </c>
      <c r="R66" s="43" t="str">
        <f t="shared" si="3"/>
        <v/>
      </c>
    </row>
    <row r="67" spans="2:18" ht="15" customHeight="1" x14ac:dyDescent="0.25">
      <c r="B67" s="71"/>
      <c r="C67" s="71"/>
      <c r="D67" s="71"/>
      <c r="E67" s="71"/>
      <c r="F67" s="71"/>
      <c r="G67" s="71"/>
      <c r="H67" s="71"/>
      <c r="I67" s="72"/>
      <c r="J67" s="72"/>
      <c r="K67" s="72"/>
      <c r="L67" s="72"/>
      <c r="M67" s="72"/>
      <c r="N67" s="73" t="str">
        <f t="shared" si="0"/>
        <v/>
      </c>
      <c r="O67" s="43" t="str">
        <f t="shared" si="1"/>
        <v/>
      </c>
      <c r="P67" s="71"/>
      <c r="Q67" s="75" t="str">
        <f t="shared" si="2"/>
        <v/>
      </c>
      <c r="R67" s="43" t="str">
        <f t="shared" si="3"/>
        <v/>
      </c>
    </row>
    <row r="68" spans="2:18" ht="15" customHeight="1" x14ac:dyDescent="0.25">
      <c r="B68" s="71"/>
      <c r="C68" s="71"/>
      <c r="D68" s="71"/>
      <c r="E68" s="71"/>
      <c r="F68" s="71"/>
      <c r="G68" s="71"/>
      <c r="H68" s="71"/>
      <c r="I68" s="72"/>
      <c r="J68" s="72"/>
      <c r="K68" s="72"/>
      <c r="L68" s="72"/>
      <c r="M68" s="72"/>
      <c r="N68" s="73" t="str">
        <f t="shared" si="0"/>
        <v/>
      </c>
      <c r="O68" s="43" t="str">
        <f t="shared" si="1"/>
        <v/>
      </c>
      <c r="P68" s="71"/>
      <c r="Q68" s="75" t="str">
        <f t="shared" si="2"/>
        <v/>
      </c>
      <c r="R68" s="43" t="str">
        <f t="shared" si="3"/>
        <v/>
      </c>
    </row>
    <row r="69" spans="2:18" ht="15" customHeight="1" x14ac:dyDescent="0.25">
      <c r="B69" s="71"/>
      <c r="C69" s="71"/>
      <c r="D69" s="71"/>
      <c r="E69" s="71"/>
      <c r="F69" s="71"/>
      <c r="G69" s="71"/>
      <c r="H69" s="71"/>
      <c r="I69" s="72"/>
      <c r="J69" s="72"/>
      <c r="K69" s="72"/>
      <c r="L69" s="72"/>
      <c r="M69" s="72"/>
      <c r="N69" s="73" t="str">
        <f t="shared" si="0"/>
        <v/>
      </c>
      <c r="O69" s="43" t="str">
        <f t="shared" si="1"/>
        <v/>
      </c>
      <c r="P69" s="71"/>
      <c r="Q69" s="75" t="str">
        <f t="shared" si="2"/>
        <v/>
      </c>
      <c r="R69" s="43" t="str">
        <f t="shared" si="3"/>
        <v/>
      </c>
    </row>
    <row r="70" spans="2:18" ht="15" customHeight="1" x14ac:dyDescent="0.25">
      <c r="B70" s="71"/>
      <c r="C70" s="71"/>
      <c r="D70" s="71"/>
      <c r="E70" s="71"/>
      <c r="F70" s="71"/>
      <c r="G70" s="71"/>
      <c r="H70" s="71"/>
      <c r="I70" s="72"/>
      <c r="J70" s="72"/>
      <c r="K70" s="72"/>
      <c r="L70" s="72"/>
      <c r="M70" s="72"/>
      <c r="N70" s="73" t="str">
        <f t="shared" si="0"/>
        <v/>
      </c>
      <c r="O70" s="43" t="str">
        <f t="shared" si="1"/>
        <v/>
      </c>
      <c r="P70" s="71"/>
      <c r="Q70" s="75" t="str">
        <f t="shared" si="2"/>
        <v/>
      </c>
      <c r="R70" s="43" t="str">
        <f t="shared" si="3"/>
        <v/>
      </c>
    </row>
    <row r="71" spans="2:18" ht="15" customHeight="1" x14ac:dyDescent="0.25">
      <c r="B71" s="71"/>
      <c r="C71" s="71"/>
      <c r="D71" s="71"/>
      <c r="E71" s="71"/>
      <c r="F71" s="71"/>
      <c r="G71" s="71"/>
      <c r="H71" s="71"/>
      <c r="I71" s="72"/>
      <c r="J71" s="72"/>
      <c r="K71" s="72"/>
      <c r="L71" s="72"/>
      <c r="M71" s="72"/>
      <c r="N71" s="73" t="str">
        <f t="shared" si="0"/>
        <v/>
      </c>
      <c r="O71" s="43" t="str">
        <f t="shared" si="1"/>
        <v/>
      </c>
      <c r="P71" s="71"/>
      <c r="Q71" s="75" t="str">
        <f t="shared" si="2"/>
        <v/>
      </c>
      <c r="R71" s="43" t="str">
        <f t="shared" si="3"/>
        <v/>
      </c>
    </row>
    <row r="72" spans="2:18" ht="15" customHeight="1" x14ac:dyDescent="0.25">
      <c r="B72" s="71"/>
      <c r="C72" s="71"/>
      <c r="D72" s="71"/>
      <c r="E72" s="71"/>
      <c r="F72" s="71"/>
      <c r="G72" s="71"/>
      <c r="H72" s="71"/>
      <c r="I72" s="72"/>
      <c r="J72" s="72"/>
      <c r="K72" s="72"/>
      <c r="L72" s="72"/>
      <c r="M72" s="72"/>
      <c r="N72" s="73" t="str">
        <f t="shared" si="0"/>
        <v/>
      </c>
      <c r="O72" s="43" t="str">
        <f t="shared" si="1"/>
        <v/>
      </c>
      <c r="P72" s="71"/>
      <c r="Q72" s="75" t="str">
        <f t="shared" si="2"/>
        <v/>
      </c>
      <c r="R72" s="43" t="str">
        <f t="shared" si="3"/>
        <v/>
      </c>
    </row>
    <row r="73" spans="2:18" ht="15" customHeight="1" x14ac:dyDescent="0.25">
      <c r="B73" s="71"/>
      <c r="C73" s="71"/>
      <c r="D73" s="71"/>
      <c r="E73" s="71"/>
      <c r="F73" s="71"/>
      <c r="G73" s="71"/>
      <c r="H73" s="71"/>
      <c r="I73" s="72"/>
      <c r="J73" s="72"/>
      <c r="K73" s="72"/>
      <c r="L73" s="72"/>
      <c r="M73" s="72"/>
      <c r="N73" s="73" t="str">
        <f t="shared" si="0"/>
        <v/>
      </c>
      <c r="O73" s="43" t="str">
        <f t="shared" si="1"/>
        <v/>
      </c>
      <c r="P73" s="71"/>
      <c r="Q73" s="75" t="str">
        <f t="shared" si="2"/>
        <v/>
      </c>
      <c r="R73" s="43" t="str">
        <f t="shared" si="3"/>
        <v/>
      </c>
    </row>
    <row r="74" spans="2:18" ht="15" customHeight="1" x14ac:dyDescent="0.25">
      <c r="B74" s="71"/>
      <c r="C74" s="71"/>
      <c r="D74" s="71"/>
      <c r="E74" s="71"/>
      <c r="F74" s="71"/>
      <c r="G74" s="71"/>
      <c r="H74" s="71"/>
      <c r="I74" s="72"/>
      <c r="J74" s="72"/>
      <c r="K74" s="72"/>
      <c r="L74" s="72"/>
      <c r="M74" s="72"/>
      <c r="N74" s="73" t="str">
        <f t="shared" si="0"/>
        <v/>
      </c>
      <c r="O74" s="43" t="str">
        <f t="shared" si="1"/>
        <v/>
      </c>
      <c r="P74" s="71"/>
      <c r="Q74" s="75" t="str">
        <f t="shared" si="2"/>
        <v/>
      </c>
      <c r="R74" s="43" t="str">
        <f t="shared" si="3"/>
        <v/>
      </c>
    </row>
    <row r="75" spans="2:18" ht="15" customHeight="1" x14ac:dyDescent="0.25">
      <c r="B75" s="71"/>
      <c r="C75" s="71"/>
      <c r="D75" s="71"/>
      <c r="E75" s="71"/>
      <c r="F75" s="71"/>
      <c r="G75" s="71"/>
      <c r="H75" s="71"/>
      <c r="I75" s="72"/>
      <c r="J75" s="72"/>
      <c r="K75" s="72"/>
      <c r="L75" s="72"/>
      <c r="M75" s="72"/>
      <c r="N75" s="73" t="str">
        <f t="shared" si="0"/>
        <v/>
      </c>
      <c r="O75" s="43" t="str">
        <f t="shared" si="1"/>
        <v/>
      </c>
      <c r="P75" s="71"/>
      <c r="Q75" s="75" t="str">
        <f t="shared" si="2"/>
        <v/>
      </c>
      <c r="R75" s="43" t="str">
        <f t="shared" si="3"/>
        <v/>
      </c>
    </row>
    <row r="76" spans="2:18" ht="15" customHeight="1" x14ac:dyDescent="0.25">
      <c r="B76" s="71"/>
      <c r="C76" s="71"/>
      <c r="D76" s="71"/>
      <c r="E76" s="71"/>
      <c r="F76" s="71"/>
      <c r="G76" s="71"/>
      <c r="H76" s="71"/>
      <c r="I76" s="72"/>
      <c r="J76" s="72"/>
      <c r="K76" s="72"/>
      <c r="L76" s="72"/>
      <c r="M76" s="72"/>
      <c r="N76" s="73" t="str">
        <f t="shared" ref="N76:N139" si="4">IF(B76&lt;&gt;"",20%,"")</f>
        <v/>
      </c>
      <c r="O76" s="43" t="str">
        <f t="shared" ref="O76:O139" si="5">IF(B76&lt;&gt;"",ROUND(B76*(1+N76),2),"")</f>
        <v/>
      </c>
      <c r="P76" s="71"/>
      <c r="Q76" s="75" t="str">
        <f t="shared" ref="Q76:Q139" si="6">IF(C76&lt;&gt;"",110,"")</f>
        <v/>
      </c>
      <c r="R76" s="43" t="str">
        <f t="shared" ref="R76:R139" si="7">IF(OR(P76="",Q76=""),"",ROUND(P76*Q76,2))</f>
        <v/>
      </c>
    </row>
    <row r="77" spans="2:18" ht="15" customHeight="1" x14ac:dyDescent="0.25">
      <c r="B77" s="71"/>
      <c r="C77" s="71"/>
      <c r="D77" s="71"/>
      <c r="E77" s="71"/>
      <c r="F77" s="71"/>
      <c r="G77" s="71"/>
      <c r="H77" s="71"/>
      <c r="I77" s="72"/>
      <c r="J77" s="72"/>
      <c r="K77" s="72"/>
      <c r="L77" s="72"/>
      <c r="M77" s="72"/>
      <c r="N77" s="73" t="str">
        <f t="shared" si="4"/>
        <v/>
      </c>
      <c r="O77" s="43" t="str">
        <f t="shared" si="5"/>
        <v/>
      </c>
      <c r="P77" s="71"/>
      <c r="Q77" s="75" t="str">
        <f t="shared" si="6"/>
        <v/>
      </c>
      <c r="R77" s="43" t="str">
        <f t="shared" si="7"/>
        <v/>
      </c>
    </row>
    <row r="78" spans="2:18" ht="15" customHeight="1" x14ac:dyDescent="0.25">
      <c r="B78" s="71"/>
      <c r="C78" s="71"/>
      <c r="D78" s="71"/>
      <c r="E78" s="71"/>
      <c r="F78" s="71"/>
      <c r="G78" s="71"/>
      <c r="H78" s="71"/>
      <c r="I78" s="72"/>
      <c r="J78" s="72"/>
      <c r="K78" s="72"/>
      <c r="L78" s="72"/>
      <c r="M78" s="72"/>
      <c r="N78" s="73" t="str">
        <f t="shared" si="4"/>
        <v/>
      </c>
      <c r="O78" s="43" t="str">
        <f t="shared" si="5"/>
        <v/>
      </c>
      <c r="P78" s="71"/>
      <c r="Q78" s="75" t="str">
        <f t="shared" si="6"/>
        <v/>
      </c>
      <c r="R78" s="43" t="str">
        <f t="shared" si="7"/>
        <v/>
      </c>
    </row>
    <row r="79" spans="2:18" ht="15" customHeight="1" x14ac:dyDescent="0.25">
      <c r="B79" s="71"/>
      <c r="C79" s="71"/>
      <c r="D79" s="71"/>
      <c r="E79" s="71"/>
      <c r="F79" s="71"/>
      <c r="G79" s="71"/>
      <c r="H79" s="71"/>
      <c r="I79" s="72"/>
      <c r="J79" s="72"/>
      <c r="K79" s="72"/>
      <c r="L79" s="72"/>
      <c r="M79" s="72"/>
      <c r="N79" s="73" t="str">
        <f t="shared" si="4"/>
        <v/>
      </c>
      <c r="O79" s="43" t="str">
        <f t="shared" si="5"/>
        <v/>
      </c>
      <c r="P79" s="71"/>
      <c r="Q79" s="75" t="str">
        <f t="shared" si="6"/>
        <v/>
      </c>
      <c r="R79" s="43" t="str">
        <f t="shared" si="7"/>
        <v/>
      </c>
    </row>
    <row r="80" spans="2:18" ht="15" customHeight="1" x14ac:dyDescent="0.25">
      <c r="B80" s="71"/>
      <c r="C80" s="71"/>
      <c r="D80" s="71"/>
      <c r="E80" s="71"/>
      <c r="F80" s="71"/>
      <c r="G80" s="71"/>
      <c r="H80" s="71"/>
      <c r="I80" s="72"/>
      <c r="J80" s="72"/>
      <c r="K80" s="72"/>
      <c r="L80" s="72"/>
      <c r="M80" s="72"/>
      <c r="N80" s="73" t="str">
        <f t="shared" si="4"/>
        <v/>
      </c>
      <c r="O80" s="43" t="str">
        <f t="shared" si="5"/>
        <v/>
      </c>
      <c r="P80" s="71"/>
      <c r="Q80" s="75" t="str">
        <f t="shared" si="6"/>
        <v/>
      </c>
      <c r="R80" s="43" t="str">
        <f t="shared" si="7"/>
        <v/>
      </c>
    </row>
    <row r="81" spans="2:18" ht="15" customHeight="1" x14ac:dyDescent="0.25">
      <c r="B81" s="71"/>
      <c r="C81" s="71"/>
      <c r="D81" s="71"/>
      <c r="E81" s="71"/>
      <c r="F81" s="71"/>
      <c r="G81" s="71"/>
      <c r="H81" s="71"/>
      <c r="I81" s="72"/>
      <c r="J81" s="72"/>
      <c r="K81" s="72"/>
      <c r="L81" s="72"/>
      <c r="M81" s="72"/>
      <c r="N81" s="73" t="str">
        <f t="shared" si="4"/>
        <v/>
      </c>
      <c r="O81" s="43" t="str">
        <f t="shared" si="5"/>
        <v/>
      </c>
      <c r="P81" s="71"/>
      <c r="Q81" s="75" t="str">
        <f t="shared" si="6"/>
        <v/>
      </c>
      <c r="R81" s="43" t="str">
        <f t="shared" si="7"/>
        <v/>
      </c>
    </row>
    <row r="82" spans="2:18" ht="15" customHeight="1" x14ac:dyDescent="0.25">
      <c r="B82" s="71"/>
      <c r="C82" s="71"/>
      <c r="D82" s="71"/>
      <c r="E82" s="71"/>
      <c r="F82" s="71"/>
      <c r="G82" s="71"/>
      <c r="H82" s="71"/>
      <c r="I82" s="72"/>
      <c r="J82" s="72"/>
      <c r="K82" s="72"/>
      <c r="L82" s="72"/>
      <c r="M82" s="72"/>
      <c r="N82" s="73" t="str">
        <f t="shared" si="4"/>
        <v/>
      </c>
      <c r="O82" s="43" t="str">
        <f t="shared" si="5"/>
        <v/>
      </c>
      <c r="P82" s="71"/>
      <c r="Q82" s="75" t="str">
        <f t="shared" si="6"/>
        <v/>
      </c>
      <c r="R82" s="43" t="str">
        <f t="shared" si="7"/>
        <v/>
      </c>
    </row>
    <row r="83" spans="2:18" ht="15" customHeight="1" x14ac:dyDescent="0.25">
      <c r="B83" s="71"/>
      <c r="C83" s="71"/>
      <c r="D83" s="71"/>
      <c r="E83" s="71"/>
      <c r="F83" s="71"/>
      <c r="G83" s="71"/>
      <c r="H83" s="71"/>
      <c r="I83" s="72"/>
      <c r="J83" s="72"/>
      <c r="K83" s="72"/>
      <c r="L83" s="72"/>
      <c r="M83" s="72"/>
      <c r="N83" s="73" t="str">
        <f t="shared" si="4"/>
        <v/>
      </c>
      <c r="O83" s="43" t="str">
        <f t="shared" si="5"/>
        <v/>
      </c>
      <c r="P83" s="71"/>
      <c r="Q83" s="75" t="str">
        <f t="shared" si="6"/>
        <v/>
      </c>
      <c r="R83" s="43" t="str">
        <f t="shared" si="7"/>
        <v/>
      </c>
    </row>
    <row r="84" spans="2:18" ht="15" customHeight="1" x14ac:dyDescent="0.25">
      <c r="B84" s="71"/>
      <c r="C84" s="71"/>
      <c r="D84" s="71"/>
      <c r="E84" s="71"/>
      <c r="F84" s="71"/>
      <c r="G84" s="71"/>
      <c r="H84" s="71"/>
      <c r="I84" s="72"/>
      <c r="J84" s="72"/>
      <c r="K84" s="72"/>
      <c r="L84" s="72"/>
      <c r="M84" s="72"/>
      <c r="N84" s="73" t="str">
        <f t="shared" si="4"/>
        <v/>
      </c>
      <c r="O84" s="43" t="str">
        <f t="shared" si="5"/>
        <v/>
      </c>
      <c r="P84" s="71"/>
      <c r="Q84" s="75" t="str">
        <f t="shared" si="6"/>
        <v/>
      </c>
      <c r="R84" s="43" t="str">
        <f t="shared" si="7"/>
        <v/>
      </c>
    </row>
    <row r="85" spans="2:18" ht="15" customHeight="1" x14ac:dyDescent="0.25">
      <c r="B85" s="71"/>
      <c r="C85" s="71"/>
      <c r="D85" s="71"/>
      <c r="E85" s="71"/>
      <c r="F85" s="71"/>
      <c r="G85" s="71"/>
      <c r="H85" s="71"/>
      <c r="I85" s="72"/>
      <c r="J85" s="72"/>
      <c r="K85" s="72"/>
      <c r="L85" s="72"/>
      <c r="M85" s="72"/>
      <c r="N85" s="73" t="str">
        <f t="shared" si="4"/>
        <v/>
      </c>
      <c r="O85" s="43" t="str">
        <f t="shared" si="5"/>
        <v/>
      </c>
      <c r="P85" s="71"/>
      <c r="Q85" s="75" t="str">
        <f t="shared" si="6"/>
        <v/>
      </c>
      <c r="R85" s="43" t="str">
        <f t="shared" si="7"/>
        <v/>
      </c>
    </row>
    <row r="86" spans="2:18" ht="15" customHeight="1" x14ac:dyDescent="0.25">
      <c r="B86" s="71"/>
      <c r="C86" s="71"/>
      <c r="D86" s="71"/>
      <c r="E86" s="71"/>
      <c r="F86" s="71"/>
      <c r="G86" s="71"/>
      <c r="H86" s="71"/>
      <c r="I86" s="72"/>
      <c r="J86" s="72"/>
      <c r="K86" s="72"/>
      <c r="L86" s="72"/>
      <c r="M86" s="72"/>
      <c r="N86" s="73" t="str">
        <f t="shared" si="4"/>
        <v/>
      </c>
      <c r="O86" s="43" t="str">
        <f t="shared" si="5"/>
        <v/>
      </c>
      <c r="P86" s="71"/>
      <c r="Q86" s="75" t="str">
        <f t="shared" si="6"/>
        <v/>
      </c>
      <c r="R86" s="43" t="str">
        <f t="shared" si="7"/>
        <v/>
      </c>
    </row>
    <row r="87" spans="2:18" ht="15" customHeight="1" x14ac:dyDescent="0.25">
      <c r="B87" s="71"/>
      <c r="C87" s="71"/>
      <c r="D87" s="71"/>
      <c r="E87" s="71"/>
      <c r="F87" s="71"/>
      <c r="G87" s="71"/>
      <c r="H87" s="71"/>
      <c r="I87" s="72"/>
      <c r="J87" s="72"/>
      <c r="K87" s="72"/>
      <c r="L87" s="72"/>
      <c r="M87" s="72"/>
      <c r="N87" s="73" t="str">
        <f t="shared" si="4"/>
        <v/>
      </c>
      <c r="O87" s="43" t="str">
        <f t="shared" si="5"/>
        <v/>
      </c>
      <c r="P87" s="71"/>
      <c r="Q87" s="75" t="str">
        <f t="shared" si="6"/>
        <v/>
      </c>
      <c r="R87" s="43" t="str">
        <f t="shared" si="7"/>
        <v/>
      </c>
    </row>
    <row r="88" spans="2:18" ht="15" customHeight="1" x14ac:dyDescent="0.25">
      <c r="B88" s="71"/>
      <c r="C88" s="71"/>
      <c r="D88" s="71"/>
      <c r="E88" s="71"/>
      <c r="F88" s="71"/>
      <c r="G88" s="71"/>
      <c r="H88" s="71"/>
      <c r="I88" s="72"/>
      <c r="J88" s="72"/>
      <c r="K88" s="72"/>
      <c r="L88" s="72"/>
      <c r="M88" s="72"/>
      <c r="N88" s="73" t="str">
        <f t="shared" si="4"/>
        <v/>
      </c>
      <c r="O88" s="43" t="str">
        <f t="shared" si="5"/>
        <v/>
      </c>
      <c r="P88" s="71"/>
      <c r="Q88" s="75" t="str">
        <f t="shared" si="6"/>
        <v/>
      </c>
      <c r="R88" s="43" t="str">
        <f t="shared" si="7"/>
        <v/>
      </c>
    </row>
    <row r="89" spans="2:18" ht="15" customHeight="1" x14ac:dyDescent="0.25">
      <c r="B89" s="71"/>
      <c r="C89" s="71"/>
      <c r="D89" s="71"/>
      <c r="E89" s="71"/>
      <c r="F89" s="71"/>
      <c r="G89" s="71"/>
      <c r="H89" s="71"/>
      <c r="I89" s="72"/>
      <c r="J89" s="72"/>
      <c r="K89" s="72"/>
      <c r="L89" s="72"/>
      <c r="M89" s="72"/>
      <c r="N89" s="73" t="str">
        <f t="shared" si="4"/>
        <v/>
      </c>
      <c r="O89" s="43" t="str">
        <f t="shared" si="5"/>
        <v/>
      </c>
      <c r="P89" s="71"/>
      <c r="Q89" s="75" t="str">
        <f t="shared" si="6"/>
        <v/>
      </c>
      <c r="R89" s="43" t="str">
        <f t="shared" si="7"/>
        <v/>
      </c>
    </row>
    <row r="90" spans="2:18" ht="15" customHeight="1" x14ac:dyDescent="0.25">
      <c r="B90" s="71"/>
      <c r="C90" s="71"/>
      <c r="D90" s="71"/>
      <c r="E90" s="71"/>
      <c r="F90" s="71"/>
      <c r="G90" s="71"/>
      <c r="H90" s="71"/>
      <c r="I90" s="72"/>
      <c r="J90" s="72"/>
      <c r="K90" s="72"/>
      <c r="L90" s="72"/>
      <c r="M90" s="72"/>
      <c r="N90" s="73" t="str">
        <f t="shared" si="4"/>
        <v/>
      </c>
      <c r="O90" s="43" t="str">
        <f t="shared" si="5"/>
        <v/>
      </c>
      <c r="P90" s="71"/>
      <c r="Q90" s="75" t="str">
        <f t="shared" si="6"/>
        <v/>
      </c>
      <c r="R90" s="43" t="str">
        <f t="shared" si="7"/>
        <v/>
      </c>
    </row>
    <row r="91" spans="2:18" ht="15" customHeight="1" x14ac:dyDescent="0.25">
      <c r="B91" s="71"/>
      <c r="C91" s="71"/>
      <c r="D91" s="71"/>
      <c r="E91" s="71"/>
      <c r="F91" s="71"/>
      <c r="G91" s="71"/>
      <c r="H91" s="71"/>
      <c r="I91" s="72"/>
      <c r="J91" s="72"/>
      <c r="K91" s="72"/>
      <c r="L91" s="72"/>
      <c r="M91" s="72"/>
      <c r="N91" s="73" t="str">
        <f t="shared" si="4"/>
        <v/>
      </c>
      <c r="O91" s="43" t="str">
        <f t="shared" si="5"/>
        <v/>
      </c>
      <c r="P91" s="71"/>
      <c r="Q91" s="75" t="str">
        <f t="shared" si="6"/>
        <v/>
      </c>
      <c r="R91" s="43" t="str">
        <f t="shared" si="7"/>
        <v/>
      </c>
    </row>
    <row r="92" spans="2:18" ht="15" customHeight="1" x14ac:dyDescent="0.25">
      <c r="B92" s="71"/>
      <c r="C92" s="71"/>
      <c r="D92" s="71"/>
      <c r="E92" s="71"/>
      <c r="F92" s="71"/>
      <c r="G92" s="71"/>
      <c r="H92" s="71"/>
      <c r="I92" s="72"/>
      <c r="J92" s="72"/>
      <c r="K92" s="72"/>
      <c r="L92" s="72"/>
      <c r="M92" s="72"/>
      <c r="N92" s="73" t="str">
        <f t="shared" si="4"/>
        <v/>
      </c>
      <c r="O92" s="43" t="str">
        <f t="shared" si="5"/>
        <v/>
      </c>
      <c r="P92" s="71"/>
      <c r="Q92" s="75" t="str">
        <f t="shared" si="6"/>
        <v/>
      </c>
      <c r="R92" s="43" t="str">
        <f t="shared" si="7"/>
        <v/>
      </c>
    </row>
    <row r="93" spans="2:18" ht="15" customHeight="1" x14ac:dyDescent="0.25">
      <c r="B93" s="71"/>
      <c r="C93" s="71"/>
      <c r="D93" s="71"/>
      <c r="E93" s="71"/>
      <c r="F93" s="71"/>
      <c r="G93" s="71"/>
      <c r="H93" s="71"/>
      <c r="I93" s="72"/>
      <c r="J93" s="72"/>
      <c r="K93" s="72"/>
      <c r="L93" s="72"/>
      <c r="M93" s="72"/>
      <c r="N93" s="73" t="str">
        <f t="shared" si="4"/>
        <v/>
      </c>
      <c r="O93" s="43" t="str">
        <f t="shared" si="5"/>
        <v/>
      </c>
      <c r="P93" s="71"/>
      <c r="Q93" s="75" t="str">
        <f t="shared" si="6"/>
        <v/>
      </c>
      <c r="R93" s="43" t="str">
        <f t="shared" si="7"/>
        <v/>
      </c>
    </row>
    <row r="94" spans="2:18" ht="15" customHeight="1" x14ac:dyDescent="0.25">
      <c r="B94" s="71"/>
      <c r="C94" s="71"/>
      <c r="D94" s="71"/>
      <c r="E94" s="71"/>
      <c r="F94" s="71"/>
      <c r="G94" s="71"/>
      <c r="H94" s="71"/>
      <c r="I94" s="72"/>
      <c r="J94" s="72"/>
      <c r="K94" s="72"/>
      <c r="L94" s="72"/>
      <c r="M94" s="72"/>
      <c r="N94" s="73" t="str">
        <f t="shared" si="4"/>
        <v/>
      </c>
      <c r="O94" s="43" t="str">
        <f t="shared" si="5"/>
        <v/>
      </c>
      <c r="P94" s="71"/>
      <c r="Q94" s="75" t="str">
        <f t="shared" si="6"/>
        <v/>
      </c>
      <c r="R94" s="43" t="str">
        <f t="shared" si="7"/>
        <v/>
      </c>
    </row>
    <row r="95" spans="2:18" ht="15" customHeight="1" x14ac:dyDescent="0.25">
      <c r="B95" s="71"/>
      <c r="C95" s="71"/>
      <c r="D95" s="71"/>
      <c r="E95" s="71"/>
      <c r="F95" s="71"/>
      <c r="G95" s="71"/>
      <c r="H95" s="71"/>
      <c r="I95" s="72"/>
      <c r="J95" s="72"/>
      <c r="K95" s="72"/>
      <c r="L95" s="72"/>
      <c r="M95" s="72"/>
      <c r="N95" s="73" t="str">
        <f t="shared" si="4"/>
        <v/>
      </c>
      <c r="O95" s="43" t="str">
        <f t="shared" si="5"/>
        <v/>
      </c>
      <c r="P95" s="71"/>
      <c r="Q95" s="75" t="str">
        <f t="shared" si="6"/>
        <v/>
      </c>
      <c r="R95" s="43" t="str">
        <f t="shared" si="7"/>
        <v/>
      </c>
    </row>
    <row r="96" spans="2:18" ht="15" customHeight="1" x14ac:dyDescent="0.25">
      <c r="B96" s="71"/>
      <c r="C96" s="71"/>
      <c r="D96" s="71"/>
      <c r="E96" s="71"/>
      <c r="F96" s="71"/>
      <c r="G96" s="71"/>
      <c r="H96" s="71"/>
      <c r="I96" s="72"/>
      <c r="J96" s="72"/>
      <c r="K96" s="72"/>
      <c r="L96" s="72"/>
      <c r="M96" s="72"/>
      <c r="N96" s="73" t="str">
        <f t="shared" si="4"/>
        <v/>
      </c>
      <c r="O96" s="43" t="str">
        <f t="shared" si="5"/>
        <v/>
      </c>
      <c r="P96" s="71"/>
      <c r="Q96" s="75" t="str">
        <f t="shared" si="6"/>
        <v/>
      </c>
      <c r="R96" s="43" t="str">
        <f t="shared" si="7"/>
        <v/>
      </c>
    </row>
    <row r="97" spans="2:18" ht="15" customHeight="1" x14ac:dyDescent="0.25">
      <c r="B97" s="71"/>
      <c r="C97" s="71"/>
      <c r="D97" s="71"/>
      <c r="E97" s="71"/>
      <c r="F97" s="71"/>
      <c r="G97" s="71"/>
      <c r="H97" s="71"/>
      <c r="I97" s="72"/>
      <c r="J97" s="72"/>
      <c r="K97" s="72"/>
      <c r="L97" s="72"/>
      <c r="M97" s="72"/>
      <c r="N97" s="73" t="str">
        <f t="shared" si="4"/>
        <v/>
      </c>
      <c r="O97" s="43" t="str">
        <f t="shared" si="5"/>
        <v/>
      </c>
      <c r="P97" s="71"/>
      <c r="Q97" s="75" t="str">
        <f t="shared" si="6"/>
        <v/>
      </c>
      <c r="R97" s="43" t="str">
        <f t="shared" si="7"/>
        <v/>
      </c>
    </row>
    <row r="98" spans="2:18" ht="15" customHeight="1" x14ac:dyDescent="0.25">
      <c r="B98" s="71"/>
      <c r="C98" s="71"/>
      <c r="D98" s="71"/>
      <c r="E98" s="71"/>
      <c r="F98" s="71"/>
      <c r="G98" s="71"/>
      <c r="H98" s="71"/>
      <c r="I98" s="72"/>
      <c r="J98" s="72"/>
      <c r="K98" s="72"/>
      <c r="L98" s="72"/>
      <c r="M98" s="72"/>
      <c r="N98" s="73" t="str">
        <f t="shared" si="4"/>
        <v/>
      </c>
      <c r="O98" s="43" t="str">
        <f t="shared" si="5"/>
        <v/>
      </c>
      <c r="P98" s="71"/>
      <c r="Q98" s="75" t="str">
        <f t="shared" si="6"/>
        <v/>
      </c>
      <c r="R98" s="43" t="str">
        <f t="shared" si="7"/>
        <v/>
      </c>
    </row>
    <row r="99" spans="2:18" ht="15" customHeight="1" x14ac:dyDescent="0.25">
      <c r="B99" s="71"/>
      <c r="C99" s="71"/>
      <c r="D99" s="71"/>
      <c r="E99" s="71"/>
      <c r="F99" s="71"/>
      <c r="G99" s="71"/>
      <c r="H99" s="71"/>
      <c r="I99" s="72"/>
      <c r="J99" s="72"/>
      <c r="K99" s="72"/>
      <c r="L99" s="72"/>
      <c r="M99" s="72"/>
      <c r="N99" s="73" t="str">
        <f t="shared" si="4"/>
        <v/>
      </c>
      <c r="O99" s="43" t="str">
        <f t="shared" si="5"/>
        <v/>
      </c>
      <c r="P99" s="71"/>
      <c r="Q99" s="75" t="str">
        <f t="shared" si="6"/>
        <v/>
      </c>
      <c r="R99" s="43" t="str">
        <f t="shared" si="7"/>
        <v/>
      </c>
    </row>
    <row r="100" spans="2:18" ht="15" customHeight="1" x14ac:dyDescent="0.25">
      <c r="B100" s="71"/>
      <c r="C100" s="71"/>
      <c r="D100" s="71"/>
      <c r="E100" s="71"/>
      <c r="F100" s="71"/>
      <c r="G100" s="71"/>
      <c r="H100" s="71"/>
      <c r="I100" s="72"/>
      <c r="J100" s="72"/>
      <c r="K100" s="72"/>
      <c r="L100" s="72"/>
      <c r="M100" s="72"/>
      <c r="N100" s="73" t="str">
        <f t="shared" si="4"/>
        <v/>
      </c>
      <c r="O100" s="43" t="str">
        <f t="shared" si="5"/>
        <v/>
      </c>
      <c r="P100" s="71"/>
      <c r="Q100" s="75" t="str">
        <f t="shared" si="6"/>
        <v/>
      </c>
      <c r="R100" s="43" t="str">
        <f t="shared" si="7"/>
        <v/>
      </c>
    </row>
    <row r="101" spans="2:18" ht="15" customHeight="1" x14ac:dyDescent="0.25">
      <c r="B101" s="71"/>
      <c r="C101" s="71"/>
      <c r="D101" s="71"/>
      <c r="E101" s="71"/>
      <c r="F101" s="71"/>
      <c r="G101" s="71"/>
      <c r="H101" s="71"/>
      <c r="I101" s="72"/>
      <c r="J101" s="72"/>
      <c r="K101" s="72"/>
      <c r="L101" s="72"/>
      <c r="M101" s="72"/>
      <c r="N101" s="73" t="str">
        <f t="shared" si="4"/>
        <v/>
      </c>
      <c r="O101" s="43" t="str">
        <f t="shared" si="5"/>
        <v/>
      </c>
      <c r="P101" s="71"/>
      <c r="Q101" s="75" t="str">
        <f t="shared" si="6"/>
        <v/>
      </c>
      <c r="R101" s="43" t="str">
        <f t="shared" si="7"/>
        <v/>
      </c>
    </row>
    <row r="102" spans="2:18" ht="15" customHeight="1" x14ac:dyDescent="0.25">
      <c r="B102" s="71"/>
      <c r="C102" s="71"/>
      <c r="D102" s="71"/>
      <c r="E102" s="71"/>
      <c r="F102" s="71"/>
      <c r="G102" s="71"/>
      <c r="H102" s="71"/>
      <c r="I102" s="72"/>
      <c r="J102" s="72"/>
      <c r="K102" s="72"/>
      <c r="L102" s="72"/>
      <c r="M102" s="72"/>
      <c r="N102" s="73" t="str">
        <f t="shared" si="4"/>
        <v/>
      </c>
      <c r="O102" s="43" t="str">
        <f t="shared" si="5"/>
        <v/>
      </c>
      <c r="P102" s="71"/>
      <c r="Q102" s="75" t="str">
        <f t="shared" si="6"/>
        <v/>
      </c>
      <c r="R102" s="43" t="str">
        <f t="shared" si="7"/>
        <v/>
      </c>
    </row>
    <row r="103" spans="2:18" ht="15" customHeight="1" x14ac:dyDescent="0.25">
      <c r="B103" s="71"/>
      <c r="C103" s="71"/>
      <c r="D103" s="71"/>
      <c r="E103" s="71"/>
      <c r="F103" s="71"/>
      <c r="G103" s="71"/>
      <c r="H103" s="71"/>
      <c r="I103" s="72"/>
      <c r="J103" s="72"/>
      <c r="K103" s="72"/>
      <c r="L103" s="72"/>
      <c r="M103" s="72"/>
      <c r="N103" s="73" t="str">
        <f t="shared" si="4"/>
        <v/>
      </c>
      <c r="O103" s="43" t="str">
        <f t="shared" si="5"/>
        <v/>
      </c>
      <c r="P103" s="71"/>
      <c r="Q103" s="75" t="str">
        <f t="shared" si="6"/>
        <v/>
      </c>
      <c r="R103" s="43" t="str">
        <f t="shared" si="7"/>
        <v/>
      </c>
    </row>
    <row r="104" spans="2:18" ht="15" customHeight="1" x14ac:dyDescent="0.25">
      <c r="B104" s="71"/>
      <c r="C104" s="71"/>
      <c r="D104" s="71"/>
      <c r="E104" s="71"/>
      <c r="F104" s="71"/>
      <c r="G104" s="71"/>
      <c r="H104" s="71"/>
      <c r="I104" s="72"/>
      <c r="J104" s="72"/>
      <c r="K104" s="72"/>
      <c r="L104" s="72"/>
      <c r="M104" s="72"/>
      <c r="N104" s="73" t="str">
        <f t="shared" si="4"/>
        <v/>
      </c>
      <c r="O104" s="43" t="str">
        <f t="shared" si="5"/>
        <v/>
      </c>
      <c r="P104" s="71"/>
      <c r="Q104" s="75" t="str">
        <f t="shared" si="6"/>
        <v/>
      </c>
      <c r="R104" s="43" t="str">
        <f t="shared" si="7"/>
        <v/>
      </c>
    </row>
    <row r="105" spans="2:18" ht="15" customHeight="1" x14ac:dyDescent="0.25">
      <c r="B105" s="71"/>
      <c r="C105" s="71"/>
      <c r="D105" s="71"/>
      <c r="E105" s="71"/>
      <c r="F105" s="71"/>
      <c r="G105" s="71"/>
      <c r="H105" s="71"/>
      <c r="I105" s="72"/>
      <c r="J105" s="72"/>
      <c r="K105" s="72"/>
      <c r="L105" s="72"/>
      <c r="M105" s="72"/>
      <c r="N105" s="73" t="str">
        <f t="shared" si="4"/>
        <v/>
      </c>
      <c r="O105" s="43" t="str">
        <f t="shared" si="5"/>
        <v/>
      </c>
      <c r="P105" s="71"/>
      <c r="Q105" s="75" t="str">
        <f t="shared" si="6"/>
        <v/>
      </c>
      <c r="R105" s="43" t="str">
        <f t="shared" si="7"/>
        <v/>
      </c>
    </row>
    <row r="106" spans="2:18" ht="15" customHeight="1" x14ac:dyDescent="0.25">
      <c r="B106" s="71"/>
      <c r="C106" s="71"/>
      <c r="D106" s="71"/>
      <c r="E106" s="71"/>
      <c r="F106" s="71"/>
      <c r="G106" s="71"/>
      <c r="H106" s="71"/>
      <c r="I106" s="72"/>
      <c r="J106" s="72"/>
      <c r="K106" s="72"/>
      <c r="L106" s="72"/>
      <c r="M106" s="72"/>
      <c r="N106" s="73" t="str">
        <f t="shared" si="4"/>
        <v/>
      </c>
      <c r="O106" s="43" t="str">
        <f t="shared" si="5"/>
        <v/>
      </c>
      <c r="P106" s="71"/>
      <c r="Q106" s="75" t="str">
        <f t="shared" si="6"/>
        <v/>
      </c>
      <c r="R106" s="43" t="str">
        <f t="shared" si="7"/>
        <v/>
      </c>
    </row>
    <row r="107" spans="2:18" ht="15" customHeight="1" x14ac:dyDescent="0.25">
      <c r="B107" s="71"/>
      <c r="C107" s="71"/>
      <c r="D107" s="71"/>
      <c r="E107" s="71"/>
      <c r="F107" s="71"/>
      <c r="G107" s="71"/>
      <c r="H107" s="71"/>
      <c r="I107" s="72"/>
      <c r="J107" s="72"/>
      <c r="K107" s="72"/>
      <c r="L107" s="72"/>
      <c r="M107" s="72"/>
      <c r="N107" s="73" t="str">
        <f t="shared" si="4"/>
        <v/>
      </c>
      <c r="O107" s="43" t="str">
        <f t="shared" si="5"/>
        <v/>
      </c>
      <c r="P107" s="71"/>
      <c r="Q107" s="75" t="str">
        <f t="shared" si="6"/>
        <v/>
      </c>
      <c r="R107" s="43" t="str">
        <f t="shared" si="7"/>
        <v/>
      </c>
    </row>
    <row r="108" spans="2:18" ht="15" customHeight="1" x14ac:dyDescent="0.25">
      <c r="B108" s="71"/>
      <c r="C108" s="71"/>
      <c r="D108" s="71"/>
      <c r="E108" s="71"/>
      <c r="F108" s="71"/>
      <c r="G108" s="71"/>
      <c r="H108" s="71"/>
      <c r="I108" s="72"/>
      <c r="J108" s="72"/>
      <c r="K108" s="72"/>
      <c r="L108" s="72"/>
      <c r="M108" s="72"/>
      <c r="N108" s="73" t="str">
        <f t="shared" si="4"/>
        <v/>
      </c>
      <c r="O108" s="43" t="str">
        <f t="shared" si="5"/>
        <v/>
      </c>
      <c r="P108" s="71"/>
      <c r="Q108" s="75" t="str">
        <f t="shared" si="6"/>
        <v/>
      </c>
      <c r="R108" s="43" t="str">
        <f t="shared" si="7"/>
        <v/>
      </c>
    </row>
    <row r="109" spans="2:18" ht="15" customHeight="1" x14ac:dyDescent="0.25">
      <c r="B109" s="71"/>
      <c r="C109" s="71"/>
      <c r="D109" s="71"/>
      <c r="E109" s="71"/>
      <c r="F109" s="71"/>
      <c r="G109" s="71"/>
      <c r="H109" s="71"/>
      <c r="I109" s="72"/>
      <c r="J109" s="72"/>
      <c r="K109" s="72"/>
      <c r="L109" s="72"/>
      <c r="M109" s="72"/>
      <c r="N109" s="73" t="str">
        <f t="shared" si="4"/>
        <v/>
      </c>
      <c r="O109" s="43" t="str">
        <f t="shared" si="5"/>
        <v/>
      </c>
      <c r="P109" s="71"/>
      <c r="Q109" s="75" t="str">
        <f t="shared" si="6"/>
        <v/>
      </c>
      <c r="R109" s="43" t="str">
        <f t="shared" si="7"/>
        <v/>
      </c>
    </row>
    <row r="110" spans="2:18" ht="15" customHeight="1" x14ac:dyDescent="0.25">
      <c r="B110" s="71"/>
      <c r="C110" s="71"/>
      <c r="D110" s="71"/>
      <c r="E110" s="71"/>
      <c r="F110" s="71"/>
      <c r="G110" s="71"/>
      <c r="H110" s="71"/>
      <c r="I110" s="72"/>
      <c r="J110" s="72"/>
      <c r="K110" s="72"/>
      <c r="L110" s="72"/>
      <c r="M110" s="72"/>
      <c r="N110" s="73" t="str">
        <f t="shared" si="4"/>
        <v/>
      </c>
      <c r="O110" s="43" t="str">
        <f t="shared" si="5"/>
        <v/>
      </c>
      <c r="P110" s="71"/>
      <c r="Q110" s="75" t="str">
        <f t="shared" si="6"/>
        <v/>
      </c>
      <c r="R110" s="43" t="str">
        <f t="shared" si="7"/>
        <v/>
      </c>
    </row>
    <row r="111" spans="2:18" ht="15" customHeight="1" x14ac:dyDescent="0.25">
      <c r="B111" s="71"/>
      <c r="C111" s="71"/>
      <c r="D111" s="71"/>
      <c r="E111" s="71"/>
      <c r="F111" s="71"/>
      <c r="G111" s="71"/>
      <c r="H111" s="71"/>
      <c r="I111" s="72"/>
      <c r="J111" s="72"/>
      <c r="K111" s="72"/>
      <c r="L111" s="72"/>
      <c r="M111" s="72"/>
      <c r="N111" s="73" t="str">
        <f t="shared" si="4"/>
        <v/>
      </c>
      <c r="O111" s="43" t="str">
        <f t="shared" si="5"/>
        <v/>
      </c>
      <c r="P111" s="71"/>
      <c r="Q111" s="75" t="str">
        <f t="shared" si="6"/>
        <v/>
      </c>
      <c r="R111" s="43" t="str">
        <f t="shared" si="7"/>
        <v/>
      </c>
    </row>
    <row r="112" spans="2:18" ht="15" customHeight="1" x14ac:dyDescent="0.25">
      <c r="B112" s="71"/>
      <c r="C112" s="71"/>
      <c r="D112" s="71"/>
      <c r="E112" s="71"/>
      <c r="F112" s="71"/>
      <c r="G112" s="71"/>
      <c r="H112" s="71"/>
      <c r="I112" s="72"/>
      <c r="J112" s="72"/>
      <c r="K112" s="72"/>
      <c r="L112" s="72"/>
      <c r="M112" s="72"/>
      <c r="N112" s="73" t="str">
        <f t="shared" si="4"/>
        <v/>
      </c>
      <c r="O112" s="43" t="str">
        <f t="shared" si="5"/>
        <v/>
      </c>
      <c r="P112" s="71"/>
      <c r="Q112" s="75" t="str">
        <f t="shared" si="6"/>
        <v/>
      </c>
      <c r="R112" s="43" t="str">
        <f t="shared" si="7"/>
        <v/>
      </c>
    </row>
    <row r="113" spans="2:18" ht="15" customHeight="1" x14ac:dyDescent="0.25">
      <c r="B113" s="71"/>
      <c r="C113" s="71"/>
      <c r="D113" s="71"/>
      <c r="E113" s="71"/>
      <c r="F113" s="71"/>
      <c r="G113" s="71"/>
      <c r="H113" s="71"/>
      <c r="I113" s="72"/>
      <c r="J113" s="72"/>
      <c r="K113" s="72"/>
      <c r="L113" s="72"/>
      <c r="M113" s="72"/>
      <c r="N113" s="73" t="str">
        <f t="shared" si="4"/>
        <v/>
      </c>
      <c r="O113" s="43" t="str">
        <f t="shared" si="5"/>
        <v/>
      </c>
      <c r="P113" s="71"/>
      <c r="Q113" s="75" t="str">
        <f t="shared" si="6"/>
        <v/>
      </c>
      <c r="R113" s="43" t="str">
        <f t="shared" si="7"/>
        <v/>
      </c>
    </row>
    <row r="114" spans="2:18" ht="15" customHeight="1" x14ac:dyDescent="0.25">
      <c r="B114" s="71"/>
      <c r="C114" s="71"/>
      <c r="D114" s="71"/>
      <c r="E114" s="71"/>
      <c r="F114" s="71"/>
      <c r="G114" s="71"/>
      <c r="H114" s="71"/>
      <c r="I114" s="72"/>
      <c r="J114" s="72"/>
      <c r="K114" s="72"/>
      <c r="L114" s="72"/>
      <c r="M114" s="72"/>
      <c r="N114" s="73" t="str">
        <f t="shared" si="4"/>
        <v/>
      </c>
      <c r="O114" s="43" t="str">
        <f t="shared" si="5"/>
        <v/>
      </c>
      <c r="P114" s="71"/>
      <c r="Q114" s="75" t="str">
        <f t="shared" si="6"/>
        <v/>
      </c>
      <c r="R114" s="43" t="str">
        <f t="shared" si="7"/>
        <v/>
      </c>
    </row>
    <row r="115" spans="2:18" ht="15" customHeight="1" x14ac:dyDescent="0.25">
      <c r="B115" s="71"/>
      <c r="C115" s="71"/>
      <c r="D115" s="71"/>
      <c r="E115" s="71"/>
      <c r="F115" s="71"/>
      <c r="G115" s="71"/>
      <c r="H115" s="71"/>
      <c r="I115" s="72"/>
      <c r="J115" s="72"/>
      <c r="K115" s="72"/>
      <c r="L115" s="72"/>
      <c r="M115" s="72"/>
      <c r="N115" s="73" t="str">
        <f t="shared" si="4"/>
        <v/>
      </c>
      <c r="O115" s="43" t="str">
        <f t="shared" si="5"/>
        <v/>
      </c>
      <c r="P115" s="71"/>
      <c r="Q115" s="75" t="str">
        <f t="shared" si="6"/>
        <v/>
      </c>
      <c r="R115" s="43" t="str">
        <f t="shared" si="7"/>
        <v/>
      </c>
    </row>
    <row r="116" spans="2:18" ht="15" customHeight="1" x14ac:dyDescent="0.25">
      <c r="B116" s="71"/>
      <c r="C116" s="71"/>
      <c r="D116" s="71"/>
      <c r="E116" s="71"/>
      <c r="F116" s="71"/>
      <c r="G116" s="71"/>
      <c r="H116" s="71"/>
      <c r="I116" s="72"/>
      <c r="J116" s="72"/>
      <c r="K116" s="72"/>
      <c r="L116" s="72"/>
      <c r="M116" s="72"/>
      <c r="N116" s="73" t="str">
        <f t="shared" si="4"/>
        <v/>
      </c>
      <c r="O116" s="43" t="str">
        <f t="shared" si="5"/>
        <v/>
      </c>
      <c r="P116" s="71"/>
      <c r="Q116" s="75" t="str">
        <f t="shared" si="6"/>
        <v/>
      </c>
      <c r="R116" s="43" t="str">
        <f t="shared" si="7"/>
        <v/>
      </c>
    </row>
    <row r="117" spans="2:18" ht="15" customHeight="1" x14ac:dyDescent="0.25">
      <c r="B117" s="71"/>
      <c r="C117" s="71"/>
      <c r="D117" s="71"/>
      <c r="E117" s="71"/>
      <c r="F117" s="71"/>
      <c r="G117" s="71"/>
      <c r="H117" s="71"/>
      <c r="I117" s="72"/>
      <c r="J117" s="72"/>
      <c r="K117" s="72"/>
      <c r="L117" s="72"/>
      <c r="M117" s="72"/>
      <c r="N117" s="73" t="str">
        <f t="shared" si="4"/>
        <v/>
      </c>
      <c r="O117" s="43" t="str">
        <f t="shared" si="5"/>
        <v/>
      </c>
      <c r="P117" s="71"/>
      <c r="Q117" s="75" t="str">
        <f t="shared" si="6"/>
        <v/>
      </c>
      <c r="R117" s="43" t="str">
        <f t="shared" si="7"/>
        <v/>
      </c>
    </row>
    <row r="118" spans="2:18" ht="15" customHeight="1" x14ac:dyDescent="0.25">
      <c r="B118" s="71"/>
      <c r="C118" s="71"/>
      <c r="D118" s="71"/>
      <c r="E118" s="71"/>
      <c r="F118" s="71"/>
      <c r="G118" s="71"/>
      <c r="H118" s="71"/>
      <c r="I118" s="72"/>
      <c r="J118" s="72"/>
      <c r="K118" s="72"/>
      <c r="L118" s="72"/>
      <c r="M118" s="72"/>
      <c r="N118" s="73" t="str">
        <f t="shared" si="4"/>
        <v/>
      </c>
      <c r="O118" s="43" t="str">
        <f t="shared" si="5"/>
        <v/>
      </c>
      <c r="P118" s="71"/>
      <c r="Q118" s="75" t="str">
        <f t="shared" si="6"/>
        <v/>
      </c>
      <c r="R118" s="43" t="str">
        <f t="shared" si="7"/>
        <v/>
      </c>
    </row>
    <row r="119" spans="2:18" ht="15" customHeight="1" x14ac:dyDescent="0.25">
      <c r="B119" s="71"/>
      <c r="C119" s="71"/>
      <c r="D119" s="71"/>
      <c r="E119" s="71"/>
      <c r="F119" s="71"/>
      <c r="G119" s="71"/>
      <c r="H119" s="71"/>
      <c r="I119" s="72"/>
      <c r="J119" s="72"/>
      <c r="K119" s="72"/>
      <c r="L119" s="72"/>
      <c r="M119" s="72"/>
      <c r="N119" s="73" t="str">
        <f t="shared" si="4"/>
        <v/>
      </c>
      <c r="O119" s="43" t="str">
        <f t="shared" si="5"/>
        <v/>
      </c>
      <c r="P119" s="71"/>
      <c r="Q119" s="75" t="str">
        <f t="shared" si="6"/>
        <v/>
      </c>
      <c r="R119" s="43" t="str">
        <f t="shared" si="7"/>
        <v/>
      </c>
    </row>
    <row r="120" spans="2:18" ht="15" customHeight="1" x14ac:dyDescent="0.25">
      <c r="B120" s="71"/>
      <c r="C120" s="71"/>
      <c r="D120" s="71"/>
      <c r="E120" s="71"/>
      <c r="F120" s="71"/>
      <c r="G120" s="71"/>
      <c r="H120" s="71"/>
      <c r="I120" s="72"/>
      <c r="J120" s="72"/>
      <c r="K120" s="72"/>
      <c r="L120" s="72"/>
      <c r="M120" s="72"/>
      <c r="N120" s="73" t="str">
        <f t="shared" si="4"/>
        <v/>
      </c>
      <c r="O120" s="43" t="str">
        <f t="shared" si="5"/>
        <v/>
      </c>
      <c r="P120" s="71"/>
      <c r="Q120" s="75" t="str">
        <f t="shared" si="6"/>
        <v/>
      </c>
      <c r="R120" s="43" t="str">
        <f t="shared" si="7"/>
        <v/>
      </c>
    </row>
    <row r="121" spans="2:18" ht="15" customHeight="1" x14ac:dyDescent="0.25">
      <c r="B121" s="71"/>
      <c r="C121" s="71"/>
      <c r="D121" s="71"/>
      <c r="E121" s="71"/>
      <c r="F121" s="71"/>
      <c r="G121" s="71"/>
      <c r="H121" s="71"/>
      <c r="I121" s="72"/>
      <c r="J121" s="72"/>
      <c r="K121" s="72"/>
      <c r="L121" s="72"/>
      <c r="M121" s="72"/>
      <c r="N121" s="73" t="str">
        <f t="shared" si="4"/>
        <v/>
      </c>
      <c r="O121" s="43" t="str">
        <f t="shared" si="5"/>
        <v/>
      </c>
      <c r="P121" s="71"/>
      <c r="Q121" s="75" t="str">
        <f t="shared" si="6"/>
        <v/>
      </c>
      <c r="R121" s="43" t="str">
        <f t="shared" si="7"/>
        <v/>
      </c>
    </row>
    <row r="122" spans="2:18" ht="15" customHeight="1" x14ac:dyDescent="0.25">
      <c r="B122" s="71"/>
      <c r="C122" s="71"/>
      <c r="D122" s="71"/>
      <c r="E122" s="71"/>
      <c r="F122" s="71"/>
      <c r="G122" s="71"/>
      <c r="H122" s="71"/>
      <c r="I122" s="72"/>
      <c r="J122" s="72"/>
      <c r="K122" s="72"/>
      <c r="L122" s="72"/>
      <c r="M122" s="72"/>
      <c r="N122" s="73" t="str">
        <f t="shared" si="4"/>
        <v/>
      </c>
      <c r="O122" s="43" t="str">
        <f t="shared" si="5"/>
        <v/>
      </c>
      <c r="P122" s="71"/>
      <c r="Q122" s="75" t="str">
        <f t="shared" si="6"/>
        <v/>
      </c>
      <c r="R122" s="43" t="str">
        <f t="shared" si="7"/>
        <v/>
      </c>
    </row>
    <row r="123" spans="2:18" ht="15" customHeight="1" x14ac:dyDescent="0.25">
      <c r="B123" s="71"/>
      <c r="C123" s="71"/>
      <c r="D123" s="71"/>
      <c r="E123" s="71"/>
      <c r="F123" s="71"/>
      <c r="G123" s="71"/>
      <c r="H123" s="71"/>
      <c r="I123" s="72"/>
      <c r="J123" s="72"/>
      <c r="K123" s="72"/>
      <c r="L123" s="72"/>
      <c r="M123" s="72"/>
      <c r="N123" s="73" t="str">
        <f t="shared" si="4"/>
        <v/>
      </c>
      <c r="O123" s="43" t="str">
        <f t="shared" si="5"/>
        <v/>
      </c>
      <c r="P123" s="71"/>
      <c r="Q123" s="75" t="str">
        <f t="shared" si="6"/>
        <v/>
      </c>
      <c r="R123" s="43" t="str">
        <f t="shared" si="7"/>
        <v/>
      </c>
    </row>
    <row r="124" spans="2:18" ht="15" customHeight="1" x14ac:dyDescent="0.25">
      <c r="B124" s="71"/>
      <c r="C124" s="71"/>
      <c r="D124" s="71"/>
      <c r="E124" s="71"/>
      <c r="F124" s="71"/>
      <c r="G124" s="71"/>
      <c r="H124" s="71"/>
      <c r="I124" s="72"/>
      <c r="J124" s="72"/>
      <c r="K124" s="72"/>
      <c r="L124" s="72"/>
      <c r="M124" s="72"/>
      <c r="N124" s="73" t="str">
        <f t="shared" si="4"/>
        <v/>
      </c>
      <c r="O124" s="43" t="str">
        <f t="shared" si="5"/>
        <v/>
      </c>
      <c r="P124" s="71"/>
      <c r="Q124" s="75" t="str">
        <f t="shared" si="6"/>
        <v/>
      </c>
      <c r="R124" s="43" t="str">
        <f t="shared" si="7"/>
        <v/>
      </c>
    </row>
    <row r="125" spans="2:18" ht="15" customHeight="1" x14ac:dyDescent="0.25">
      <c r="B125" s="71"/>
      <c r="C125" s="71"/>
      <c r="D125" s="71"/>
      <c r="E125" s="71"/>
      <c r="F125" s="71"/>
      <c r="G125" s="71"/>
      <c r="H125" s="71"/>
      <c r="I125" s="72"/>
      <c r="J125" s="72"/>
      <c r="K125" s="72"/>
      <c r="L125" s="72"/>
      <c r="M125" s="72"/>
      <c r="N125" s="73" t="str">
        <f t="shared" si="4"/>
        <v/>
      </c>
      <c r="O125" s="43" t="str">
        <f t="shared" si="5"/>
        <v/>
      </c>
      <c r="P125" s="71"/>
      <c r="Q125" s="75" t="str">
        <f t="shared" si="6"/>
        <v/>
      </c>
      <c r="R125" s="43" t="str">
        <f t="shared" si="7"/>
        <v/>
      </c>
    </row>
    <row r="126" spans="2:18" ht="15" customHeight="1" x14ac:dyDescent="0.25">
      <c r="B126" s="71"/>
      <c r="C126" s="71"/>
      <c r="D126" s="71"/>
      <c r="E126" s="71"/>
      <c r="F126" s="71"/>
      <c r="G126" s="71"/>
      <c r="H126" s="71"/>
      <c r="I126" s="72"/>
      <c r="J126" s="72"/>
      <c r="K126" s="72"/>
      <c r="L126" s="72"/>
      <c r="M126" s="72"/>
      <c r="N126" s="73" t="str">
        <f t="shared" si="4"/>
        <v/>
      </c>
      <c r="O126" s="43" t="str">
        <f t="shared" si="5"/>
        <v/>
      </c>
      <c r="P126" s="71"/>
      <c r="Q126" s="75" t="str">
        <f t="shared" si="6"/>
        <v/>
      </c>
      <c r="R126" s="43" t="str">
        <f t="shared" si="7"/>
        <v/>
      </c>
    </row>
    <row r="127" spans="2:18" ht="15" customHeight="1" x14ac:dyDescent="0.25">
      <c r="B127" s="71"/>
      <c r="C127" s="71"/>
      <c r="D127" s="71"/>
      <c r="E127" s="71"/>
      <c r="F127" s="71"/>
      <c r="G127" s="71"/>
      <c r="H127" s="71"/>
      <c r="I127" s="72"/>
      <c r="J127" s="72"/>
      <c r="K127" s="72"/>
      <c r="L127" s="72"/>
      <c r="M127" s="72"/>
      <c r="N127" s="73" t="str">
        <f t="shared" si="4"/>
        <v/>
      </c>
      <c r="O127" s="43" t="str">
        <f t="shared" si="5"/>
        <v/>
      </c>
      <c r="P127" s="71"/>
      <c r="Q127" s="75" t="str">
        <f t="shared" si="6"/>
        <v/>
      </c>
      <c r="R127" s="43" t="str">
        <f t="shared" si="7"/>
        <v/>
      </c>
    </row>
    <row r="128" spans="2:18" ht="15" customHeight="1" x14ac:dyDescent="0.25">
      <c r="B128" s="71"/>
      <c r="C128" s="71"/>
      <c r="D128" s="71"/>
      <c r="E128" s="71"/>
      <c r="F128" s="71"/>
      <c r="G128" s="71"/>
      <c r="H128" s="71"/>
      <c r="I128" s="72"/>
      <c r="J128" s="72"/>
      <c r="K128" s="72"/>
      <c r="L128" s="72"/>
      <c r="M128" s="72"/>
      <c r="N128" s="73" t="str">
        <f t="shared" si="4"/>
        <v/>
      </c>
      <c r="O128" s="43" t="str">
        <f t="shared" si="5"/>
        <v/>
      </c>
      <c r="P128" s="71"/>
      <c r="Q128" s="75" t="str">
        <f t="shared" si="6"/>
        <v/>
      </c>
      <c r="R128" s="43" t="str">
        <f t="shared" si="7"/>
        <v/>
      </c>
    </row>
    <row r="129" spans="2:18" ht="15" customHeight="1" x14ac:dyDescent="0.25">
      <c r="B129" s="71"/>
      <c r="C129" s="71"/>
      <c r="D129" s="71"/>
      <c r="E129" s="71"/>
      <c r="F129" s="71"/>
      <c r="G129" s="71"/>
      <c r="H129" s="71"/>
      <c r="I129" s="72"/>
      <c r="J129" s="72"/>
      <c r="K129" s="72"/>
      <c r="L129" s="72"/>
      <c r="M129" s="72"/>
      <c r="N129" s="73" t="str">
        <f t="shared" si="4"/>
        <v/>
      </c>
      <c r="O129" s="43" t="str">
        <f t="shared" si="5"/>
        <v/>
      </c>
      <c r="P129" s="71"/>
      <c r="Q129" s="75" t="str">
        <f t="shared" si="6"/>
        <v/>
      </c>
      <c r="R129" s="43" t="str">
        <f t="shared" si="7"/>
        <v/>
      </c>
    </row>
    <row r="130" spans="2:18" ht="15" customHeight="1" x14ac:dyDescent="0.25">
      <c r="B130" s="71"/>
      <c r="C130" s="71"/>
      <c r="D130" s="71"/>
      <c r="E130" s="71"/>
      <c r="F130" s="71"/>
      <c r="G130" s="71"/>
      <c r="H130" s="71"/>
      <c r="I130" s="72"/>
      <c r="J130" s="72"/>
      <c r="K130" s="72"/>
      <c r="L130" s="72"/>
      <c r="M130" s="72"/>
      <c r="N130" s="73" t="str">
        <f t="shared" si="4"/>
        <v/>
      </c>
      <c r="O130" s="43" t="str">
        <f t="shared" si="5"/>
        <v/>
      </c>
      <c r="P130" s="71"/>
      <c r="Q130" s="75" t="str">
        <f t="shared" si="6"/>
        <v/>
      </c>
      <c r="R130" s="43" t="str">
        <f t="shared" si="7"/>
        <v/>
      </c>
    </row>
    <row r="131" spans="2:18" ht="15" customHeight="1" x14ac:dyDescent="0.25">
      <c r="B131" s="71"/>
      <c r="C131" s="71"/>
      <c r="D131" s="71"/>
      <c r="E131" s="71"/>
      <c r="F131" s="71"/>
      <c r="G131" s="71"/>
      <c r="H131" s="71"/>
      <c r="I131" s="72"/>
      <c r="J131" s="72"/>
      <c r="K131" s="72"/>
      <c r="L131" s="72"/>
      <c r="M131" s="72"/>
      <c r="N131" s="73" t="str">
        <f t="shared" si="4"/>
        <v/>
      </c>
      <c r="O131" s="43" t="str">
        <f t="shared" si="5"/>
        <v/>
      </c>
      <c r="P131" s="71"/>
      <c r="Q131" s="75" t="str">
        <f t="shared" si="6"/>
        <v/>
      </c>
      <c r="R131" s="43" t="str">
        <f t="shared" si="7"/>
        <v/>
      </c>
    </row>
    <row r="132" spans="2:18" ht="15" customHeight="1" x14ac:dyDescent="0.25">
      <c r="B132" s="71"/>
      <c r="C132" s="71"/>
      <c r="D132" s="71"/>
      <c r="E132" s="71"/>
      <c r="F132" s="71"/>
      <c r="G132" s="71"/>
      <c r="H132" s="71"/>
      <c r="I132" s="72"/>
      <c r="J132" s="72"/>
      <c r="K132" s="72"/>
      <c r="L132" s="72"/>
      <c r="M132" s="72"/>
      <c r="N132" s="73" t="str">
        <f t="shared" si="4"/>
        <v/>
      </c>
      <c r="O132" s="43" t="str">
        <f t="shared" si="5"/>
        <v/>
      </c>
      <c r="P132" s="71"/>
      <c r="Q132" s="75" t="str">
        <f t="shared" si="6"/>
        <v/>
      </c>
      <c r="R132" s="43" t="str">
        <f t="shared" si="7"/>
        <v/>
      </c>
    </row>
    <row r="133" spans="2:18" ht="15" customHeight="1" x14ac:dyDescent="0.25">
      <c r="B133" s="71"/>
      <c r="C133" s="71"/>
      <c r="D133" s="71"/>
      <c r="E133" s="71"/>
      <c r="F133" s="71"/>
      <c r="G133" s="71"/>
      <c r="H133" s="71"/>
      <c r="I133" s="72"/>
      <c r="J133" s="72"/>
      <c r="K133" s="72"/>
      <c r="L133" s="72"/>
      <c r="M133" s="72"/>
      <c r="N133" s="73" t="str">
        <f t="shared" si="4"/>
        <v/>
      </c>
      <c r="O133" s="43" t="str">
        <f t="shared" si="5"/>
        <v/>
      </c>
      <c r="P133" s="71"/>
      <c r="Q133" s="75" t="str">
        <f t="shared" si="6"/>
        <v/>
      </c>
      <c r="R133" s="43" t="str">
        <f t="shared" si="7"/>
        <v/>
      </c>
    </row>
    <row r="134" spans="2:18" ht="15" customHeight="1" x14ac:dyDescent="0.25">
      <c r="B134" s="71"/>
      <c r="C134" s="71"/>
      <c r="D134" s="71"/>
      <c r="E134" s="71"/>
      <c r="F134" s="71"/>
      <c r="G134" s="71"/>
      <c r="H134" s="71"/>
      <c r="I134" s="72"/>
      <c r="J134" s="72"/>
      <c r="K134" s="72"/>
      <c r="L134" s="72"/>
      <c r="M134" s="72"/>
      <c r="N134" s="73" t="str">
        <f t="shared" si="4"/>
        <v/>
      </c>
      <c r="O134" s="43" t="str">
        <f t="shared" si="5"/>
        <v/>
      </c>
      <c r="P134" s="71"/>
      <c r="Q134" s="75" t="str">
        <f t="shared" si="6"/>
        <v/>
      </c>
      <c r="R134" s="43" t="str">
        <f t="shared" si="7"/>
        <v/>
      </c>
    </row>
    <row r="135" spans="2:18" ht="15" customHeight="1" x14ac:dyDescent="0.25">
      <c r="B135" s="71"/>
      <c r="C135" s="71"/>
      <c r="D135" s="71"/>
      <c r="E135" s="71"/>
      <c r="F135" s="71"/>
      <c r="G135" s="71"/>
      <c r="H135" s="71"/>
      <c r="I135" s="72"/>
      <c r="J135" s="72"/>
      <c r="K135" s="72"/>
      <c r="L135" s="72"/>
      <c r="M135" s="72"/>
      <c r="N135" s="73" t="str">
        <f t="shared" si="4"/>
        <v/>
      </c>
      <c r="O135" s="43" t="str">
        <f t="shared" si="5"/>
        <v/>
      </c>
      <c r="P135" s="71"/>
      <c r="Q135" s="75" t="str">
        <f t="shared" si="6"/>
        <v/>
      </c>
      <c r="R135" s="43" t="str">
        <f t="shared" si="7"/>
        <v/>
      </c>
    </row>
    <row r="136" spans="2:18" ht="15" customHeight="1" x14ac:dyDescent="0.25">
      <c r="B136" s="71"/>
      <c r="C136" s="71"/>
      <c r="D136" s="71"/>
      <c r="E136" s="71"/>
      <c r="F136" s="71"/>
      <c r="G136" s="71"/>
      <c r="H136" s="71"/>
      <c r="I136" s="72"/>
      <c r="J136" s="72"/>
      <c r="K136" s="72"/>
      <c r="L136" s="72"/>
      <c r="M136" s="72"/>
      <c r="N136" s="73" t="str">
        <f t="shared" si="4"/>
        <v/>
      </c>
      <c r="O136" s="43" t="str">
        <f t="shared" si="5"/>
        <v/>
      </c>
      <c r="P136" s="71"/>
      <c r="Q136" s="75" t="str">
        <f t="shared" si="6"/>
        <v/>
      </c>
      <c r="R136" s="43" t="str">
        <f t="shared" si="7"/>
        <v/>
      </c>
    </row>
    <row r="137" spans="2:18" ht="15" customHeight="1" x14ac:dyDescent="0.25">
      <c r="B137" s="71"/>
      <c r="C137" s="71"/>
      <c r="D137" s="71"/>
      <c r="E137" s="71"/>
      <c r="F137" s="71"/>
      <c r="G137" s="71"/>
      <c r="H137" s="71"/>
      <c r="I137" s="72"/>
      <c r="J137" s="72"/>
      <c r="K137" s="72"/>
      <c r="L137" s="72"/>
      <c r="M137" s="72"/>
      <c r="N137" s="73" t="str">
        <f t="shared" si="4"/>
        <v/>
      </c>
      <c r="O137" s="43" t="str">
        <f t="shared" si="5"/>
        <v/>
      </c>
      <c r="P137" s="71"/>
      <c r="Q137" s="75" t="str">
        <f t="shared" si="6"/>
        <v/>
      </c>
      <c r="R137" s="43" t="str">
        <f t="shared" si="7"/>
        <v/>
      </c>
    </row>
    <row r="138" spans="2:18" ht="15" customHeight="1" x14ac:dyDescent="0.25">
      <c r="B138" s="71"/>
      <c r="C138" s="71"/>
      <c r="D138" s="71"/>
      <c r="E138" s="71"/>
      <c r="F138" s="71"/>
      <c r="G138" s="71"/>
      <c r="H138" s="71"/>
      <c r="I138" s="72"/>
      <c r="J138" s="72"/>
      <c r="K138" s="72"/>
      <c r="L138" s="72"/>
      <c r="M138" s="72"/>
      <c r="N138" s="73" t="str">
        <f t="shared" si="4"/>
        <v/>
      </c>
      <c r="O138" s="43" t="str">
        <f t="shared" si="5"/>
        <v/>
      </c>
      <c r="P138" s="71"/>
      <c r="Q138" s="75" t="str">
        <f t="shared" si="6"/>
        <v/>
      </c>
      <c r="R138" s="43" t="str">
        <f t="shared" si="7"/>
        <v/>
      </c>
    </row>
    <row r="139" spans="2:18" ht="15" customHeight="1" x14ac:dyDescent="0.25">
      <c r="B139" s="71"/>
      <c r="C139" s="71"/>
      <c r="D139" s="71"/>
      <c r="E139" s="71"/>
      <c r="F139" s="71"/>
      <c r="G139" s="71"/>
      <c r="H139" s="71"/>
      <c r="I139" s="72"/>
      <c r="J139" s="72"/>
      <c r="K139" s="72"/>
      <c r="L139" s="72"/>
      <c r="M139" s="72"/>
      <c r="N139" s="73" t="str">
        <f t="shared" si="4"/>
        <v/>
      </c>
      <c r="O139" s="43" t="str">
        <f t="shared" si="5"/>
        <v/>
      </c>
      <c r="P139" s="71"/>
      <c r="Q139" s="75" t="str">
        <f t="shared" si="6"/>
        <v/>
      </c>
      <c r="R139" s="43" t="str">
        <f t="shared" si="7"/>
        <v/>
      </c>
    </row>
    <row r="140" spans="2:18" ht="15" customHeight="1" x14ac:dyDescent="0.25">
      <c r="B140" s="71"/>
      <c r="C140" s="71"/>
      <c r="D140" s="71"/>
      <c r="E140" s="71"/>
      <c r="F140" s="71"/>
      <c r="G140" s="71"/>
      <c r="H140" s="71"/>
      <c r="I140" s="72"/>
      <c r="J140" s="72"/>
      <c r="K140" s="72"/>
      <c r="L140" s="72"/>
      <c r="M140" s="72"/>
      <c r="N140" s="73" t="str">
        <f t="shared" ref="N140:N203" si="8">IF(B140&lt;&gt;"",20%,"")</f>
        <v/>
      </c>
      <c r="O140" s="43" t="str">
        <f t="shared" ref="O140:O203" si="9">IF(B140&lt;&gt;"",ROUND(B140*(1+N140),2),"")</f>
        <v/>
      </c>
      <c r="P140" s="71"/>
      <c r="Q140" s="75" t="str">
        <f t="shared" ref="Q140:Q203" si="10">IF(C140&lt;&gt;"",110,"")</f>
        <v/>
      </c>
      <c r="R140" s="43" t="str">
        <f t="shared" ref="R140:R203" si="11">IF(OR(P140="",Q140=""),"",ROUND(P140*Q140,2))</f>
        <v/>
      </c>
    </row>
    <row r="141" spans="2:18" ht="15" customHeight="1" x14ac:dyDescent="0.25">
      <c r="B141" s="71"/>
      <c r="C141" s="71"/>
      <c r="D141" s="71"/>
      <c r="E141" s="71"/>
      <c r="F141" s="71"/>
      <c r="G141" s="71"/>
      <c r="H141" s="71"/>
      <c r="I141" s="72"/>
      <c r="J141" s="72"/>
      <c r="K141" s="72"/>
      <c r="L141" s="72"/>
      <c r="M141" s="72"/>
      <c r="N141" s="73" t="str">
        <f t="shared" si="8"/>
        <v/>
      </c>
      <c r="O141" s="43" t="str">
        <f t="shared" si="9"/>
        <v/>
      </c>
      <c r="P141" s="71"/>
      <c r="Q141" s="75" t="str">
        <f t="shared" si="10"/>
        <v/>
      </c>
      <c r="R141" s="43" t="str">
        <f t="shared" si="11"/>
        <v/>
      </c>
    </row>
    <row r="142" spans="2:18" ht="15" customHeight="1" x14ac:dyDescent="0.25">
      <c r="B142" s="71"/>
      <c r="C142" s="71"/>
      <c r="D142" s="71"/>
      <c r="E142" s="71"/>
      <c r="F142" s="71"/>
      <c r="G142" s="71"/>
      <c r="H142" s="71"/>
      <c r="I142" s="72"/>
      <c r="J142" s="72"/>
      <c r="K142" s="72"/>
      <c r="L142" s="72"/>
      <c r="M142" s="72"/>
      <c r="N142" s="73" t="str">
        <f t="shared" si="8"/>
        <v/>
      </c>
      <c r="O142" s="43" t="str">
        <f t="shared" si="9"/>
        <v/>
      </c>
      <c r="P142" s="71"/>
      <c r="Q142" s="75" t="str">
        <f t="shared" si="10"/>
        <v/>
      </c>
      <c r="R142" s="43" t="str">
        <f t="shared" si="11"/>
        <v/>
      </c>
    </row>
    <row r="143" spans="2:18" ht="15" customHeight="1" x14ac:dyDescent="0.25">
      <c r="B143" s="71"/>
      <c r="C143" s="71"/>
      <c r="D143" s="71"/>
      <c r="E143" s="71"/>
      <c r="F143" s="71"/>
      <c r="G143" s="71"/>
      <c r="H143" s="71"/>
      <c r="I143" s="72"/>
      <c r="J143" s="72"/>
      <c r="K143" s="72"/>
      <c r="L143" s="72"/>
      <c r="M143" s="72"/>
      <c r="N143" s="73" t="str">
        <f t="shared" si="8"/>
        <v/>
      </c>
      <c r="O143" s="43" t="str">
        <f t="shared" si="9"/>
        <v/>
      </c>
      <c r="P143" s="71"/>
      <c r="Q143" s="75" t="str">
        <f t="shared" si="10"/>
        <v/>
      </c>
      <c r="R143" s="43" t="str">
        <f t="shared" si="11"/>
        <v/>
      </c>
    </row>
    <row r="144" spans="2:18" ht="15" customHeight="1" x14ac:dyDescent="0.25">
      <c r="B144" s="71"/>
      <c r="C144" s="71"/>
      <c r="D144" s="71"/>
      <c r="E144" s="71"/>
      <c r="F144" s="71"/>
      <c r="G144" s="71"/>
      <c r="H144" s="71"/>
      <c r="I144" s="72"/>
      <c r="J144" s="72"/>
      <c r="K144" s="72"/>
      <c r="L144" s="72"/>
      <c r="M144" s="72"/>
      <c r="N144" s="73" t="str">
        <f t="shared" si="8"/>
        <v/>
      </c>
      <c r="O144" s="43" t="str">
        <f t="shared" si="9"/>
        <v/>
      </c>
      <c r="P144" s="71"/>
      <c r="Q144" s="75" t="str">
        <f t="shared" si="10"/>
        <v/>
      </c>
      <c r="R144" s="43" t="str">
        <f t="shared" si="11"/>
        <v/>
      </c>
    </row>
    <row r="145" spans="2:18" ht="15" customHeight="1" x14ac:dyDescent="0.25">
      <c r="B145" s="71"/>
      <c r="C145" s="71"/>
      <c r="D145" s="71"/>
      <c r="E145" s="71"/>
      <c r="F145" s="71"/>
      <c r="G145" s="71"/>
      <c r="H145" s="71"/>
      <c r="I145" s="72"/>
      <c r="J145" s="72"/>
      <c r="K145" s="72"/>
      <c r="L145" s="72"/>
      <c r="M145" s="72"/>
      <c r="N145" s="73" t="str">
        <f t="shared" si="8"/>
        <v/>
      </c>
      <c r="O145" s="43" t="str">
        <f t="shared" si="9"/>
        <v/>
      </c>
      <c r="P145" s="71"/>
      <c r="Q145" s="75" t="str">
        <f t="shared" si="10"/>
        <v/>
      </c>
      <c r="R145" s="43" t="str">
        <f t="shared" si="11"/>
        <v/>
      </c>
    </row>
    <row r="146" spans="2:18" ht="15" customHeight="1" x14ac:dyDescent="0.25">
      <c r="B146" s="71"/>
      <c r="C146" s="71"/>
      <c r="D146" s="71"/>
      <c r="E146" s="71"/>
      <c r="F146" s="71"/>
      <c r="G146" s="71"/>
      <c r="H146" s="71"/>
      <c r="I146" s="72"/>
      <c r="J146" s="72"/>
      <c r="K146" s="72"/>
      <c r="L146" s="72"/>
      <c r="M146" s="72"/>
      <c r="N146" s="73" t="str">
        <f t="shared" si="8"/>
        <v/>
      </c>
      <c r="O146" s="43" t="str">
        <f t="shared" si="9"/>
        <v/>
      </c>
      <c r="P146" s="71"/>
      <c r="Q146" s="75" t="str">
        <f t="shared" si="10"/>
        <v/>
      </c>
      <c r="R146" s="43" t="str">
        <f t="shared" si="11"/>
        <v/>
      </c>
    </row>
    <row r="147" spans="2:18" ht="15" customHeight="1" x14ac:dyDescent="0.25">
      <c r="B147" s="71"/>
      <c r="C147" s="71"/>
      <c r="D147" s="71"/>
      <c r="E147" s="71"/>
      <c r="F147" s="71"/>
      <c r="G147" s="71"/>
      <c r="H147" s="71"/>
      <c r="I147" s="72"/>
      <c r="J147" s="72"/>
      <c r="K147" s="72"/>
      <c r="L147" s="72"/>
      <c r="M147" s="72"/>
      <c r="N147" s="73" t="str">
        <f t="shared" si="8"/>
        <v/>
      </c>
      <c r="O147" s="43" t="str">
        <f t="shared" si="9"/>
        <v/>
      </c>
      <c r="P147" s="71"/>
      <c r="Q147" s="75" t="str">
        <f t="shared" si="10"/>
        <v/>
      </c>
      <c r="R147" s="43" t="str">
        <f t="shared" si="11"/>
        <v/>
      </c>
    </row>
    <row r="148" spans="2:18" ht="15" customHeight="1" x14ac:dyDescent="0.25">
      <c r="B148" s="71"/>
      <c r="C148" s="71"/>
      <c r="D148" s="71"/>
      <c r="E148" s="71"/>
      <c r="F148" s="71"/>
      <c r="G148" s="71"/>
      <c r="H148" s="71"/>
      <c r="I148" s="72"/>
      <c r="J148" s="72"/>
      <c r="K148" s="72"/>
      <c r="L148" s="72"/>
      <c r="M148" s="72"/>
      <c r="N148" s="73" t="str">
        <f t="shared" si="8"/>
        <v/>
      </c>
      <c r="O148" s="43" t="str">
        <f t="shared" si="9"/>
        <v/>
      </c>
      <c r="P148" s="71"/>
      <c r="Q148" s="75" t="str">
        <f t="shared" si="10"/>
        <v/>
      </c>
      <c r="R148" s="43" t="str">
        <f t="shared" si="11"/>
        <v/>
      </c>
    </row>
    <row r="149" spans="2:18" ht="15" customHeight="1" x14ac:dyDescent="0.25">
      <c r="B149" s="71"/>
      <c r="C149" s="71"/>
      <c r="D149" s="71"/>
      <c r="E149" s="71"/>
      <c r="F149" s="71"/>
      <c r="G149" s="71"/>
      <c r="H149" s="71"/>
      <c r="I149" s="72"/>
      <c r="J149" s="72"/>
      <c r="K149" s="72"/>
      <c r="L149" s="72"/>
      <c r="M149" s="72"/>
      <c r="N149" s="73" t="str">
        <f t="shared" si="8"/>
        <v/>
      </c>
      <c r="O149" s="43" t="str">
        <f t="shared" si="9"/>
        <v/>
      </c>
      <c r="P149" s="71"/>
      <c r="Q149" s="75" t="str">
        <f t="shared" si="10"/>
        <v/>
      </c>
      <c r="R149" s="43" t="str">
        <f t="shared" si="11"/>
        <v/>
      </c>
    </row>
    <row r="150" spans="2:18" ht="15" customHeight="1" x14ac:dyDescent="0.25">
      <c r="B150" s="71"/>
      <c r="C150" s="71"/>
      <c r="D150" s="71"/>
      <c r="E150" s="71"/>
      <c r="F150" s="71"/>
      <c r="G150" s="71"/>
      <c r="H150" s="71"/>
      <c r="I150" s="72"/>
      <c r="J150" s="72"/>
      <c r="K150" s="72"/>
      <c r="L150" s="72"/>
      <c r="M150" s="72"/>
      <c r="N150" s="73" t="str">
        <f t="shared" si="8"/>
        <v/>
      </c>
      <c r="O150" s="43" t="str">
        <f t="shared" si="9"/>
        <v/>
      </c>
      <c r="P150" s="71"/>
      <c r="Q150" s="75" t="str">
        <f t="shared" si="10"/>
        <v/>
      </c>
      <c r="R150" s="43" t="str">
        <f t="shared" si="11"/>
        <v/>
      </c>
    </row>
    <row r="151" spans="2:18" ht="15" customHeight="1" x14ac:dyDescent="0.25">
      <c r="B151" s="71"/>
      <c r="C151" s="71"/>
      <c r="D151" s="71"/>
      <c r="E151" s="71"/>
      <c r="F151" s="71"/>
      <c r="G151" s="71"/>
      <c r="H151" s="71"/>
      <c r="I151" s="72"/>
      <c r="J151" s="72"/>
      <c r="K151" s="72"/>
      <c r="L151" s="72"/>
      <c r="M151" s="72"/>
      <c r="N151" s="73" t="str">
        <f t="shared" si="8"/>
        <v/>
      </c>
      <c r="O151" s="43" t="str">
        <f t="shared" si="9"/>
        <v/>
      </c>
      <c r="P151" s="71"/>
      <c r="Q151" s="75" t="str">
        <f t="shared" si="10"/>
        <v/>
      </c>
      <c r="R151" s="43" t="str">
        <f t="shared" si="11"/>
        <v/>
      </c>
    </row>
    <row r="152" spans="2:18" ht="15" customHeight="1" x14ac:dyDescent="0.25">
      <c r="B152" s="71"/>
      <c r="C152" s="71"/>
      <c r="D152" s="71"/>
      <c r="E152" s="71"/>
      <c r="F152" s="71"/>
      <c r="G152" s="71"/>
      <c r="H152" s="71"/>
      <c r="I152" s="72"/>
      <c r="J152" s="72"/>
      <c r="K152" s="72"/>
      <c r="L152" s="72"/>
      <c r="M152" s="72"/>
      <c r="N152" s="73" t="str">
        <f t="shared" si="8"/>
        <v/>
      </c>
      <c r="O152" s="43" t="str">
        <f t="shared" si="9"/>
        <v/>
      </c>
      <c r="P152" s="71"/>
      <c r="Q152" s="75" t="str">
        <f t="shared" si="10"/>
        <v/>
      </c>
      <c r="R152" s="43" t="str">
        <f t="shared" si="11"/>
        <v/>
      </c>
    </row>
    <row r="153" spans="2:18" ht="15" customHeight="1" x14ac:dyDescent="0.25">
      <c r="B153" s="71"/>
      <c r="C153" s="71"/>
      <c r="D153" s="71"/>
      <c r="E153" s="71"/>
      <c r="F153" s="71"/>
      <c r="G153" s="71"/>
      <c r="H153" s="71"/>
      <c r="I153" s="72"/>
      <c r="J153" s="72"/>
      <c r="K153" s="72"/>
      <c r="L153" s="72"/>
      <c r="M153" s="72"/>
      <c r="N153" s="73" t="str">
        <f t="shared" si="8"/>
        <v/>
      </c>
      <c r="O153" s="43" t="str">
        <f t="shared" si="9"/>
        <v/>
      </c>
      <c r="P153" s="71"/>
      <c r="Q153" s="75" t="str">
        <f t="shared" si="10"/>
        <v/>
      </c>
      <c r="R153" s="43" t="str">
        <f t="shared" si="11"/>
        <v/>
      </c>
    </row>
    <row r="154" spans="2:18" ht="15" customHeight="1" x14ac:dyDescent="0.25">
      <c r="B154" s="71"/>
      <c r="C154" s="71"/>
      <c r="D154" s="71"/>
      <c r="E154" s="71"/>
      <c r="F154" s="71"/>
      <c r="G154" s="71"/>
      <c r="H154" s="71"/>
      <c r="I154" s="72"/>
      <c r="J154" s="72"/>
      <c r="K154" s="72"/>
      <c r="L154" s="72"/>
      <c r="M154" s="72"/>
      <c r="N154" s="73" t="str">
        <f t="shared" si="8"/>
        <v/>
      </c>
      <c r="O154" s="43" t="str">
        <f t="shared" si="9"/>
        <v/>
      </c>
      <c r="P154" s="71"/>
      <c r="Q154" s="75" t="str">
        <f t="shared" si="10"/>
        <v/>
      </c>
      <c r="R154" s="43" t="str">
        <f t="shared" si="11"/>
        <v/>
      </c>
    </row>
    <row r="155" spans="2:18" ht="15" customHeight="1" x14ac:dyDescent="0.25">
      <c r="B155" s="71"/>
      <c r="C155" s="71"/>
      <c r="D155" s="71"/>
      <c r="E155" s="71"/>
      <c r="F155" s="71"/>
      <c r="G155" s="71"/>
      <c r="H155" s="71"/>
      <c r="I155" s="72"/>
      <c r="J155" s="72"/>
      <c r="K155" s="72"/>
      <c r="L155" s="72"/>
      <c r="M155" s="72"/>
      <c r="N155" s="73" t="str">
        <f t="shared" si="8"/>
        <v/>
      </c>
      <c r="O155" s="43" t="str">
        <f t="shared" si="9"/>
        <v/>
      </c>
      <c r="P155" s="71"/>
      <c r="Q155" s="75" t="str">
        <f t="shared" si="10"/>
        <v/>
      </c>
      <c r="R155" s="43" t="str">
        <f t="shared" si="11"/>
        <v/>
      </c>
    </row>
    <row r="156" spans="2:18" ht="15" customHeight="1" x14ac:dyDescent="0.25">
      <c r="B156" s="71"/>
      <c r="C156" s="71"/>
      <c r="D156" s="71"/>
      <c r="E156" s="71"/>
      <c r="F156" s="71"/>
      <c r="G156" s="71"/>
      <c r="H156" s="71"/>
      <c r="I156" s="72"/>
      <c r="J156" s="72"/>
      <c r="K156" s="72"/>
      <c r="L156" s="72"/>
      <c r="M156" s="72"/>
      <c r="N156" s="73" t="str">
        <f t="shared" si="8"/>
        <v/>
      </c>
      <c r="O156" s="43" t="str">
        <f t="shared" si="9"/>
        <v/>
      </c>
      <c r="P156" s="71"/>
      <c r="Q156" s="75" t="str">
        <f t="shared" si="10"/>
        <v/>
      </c>
      <c r="R156" s="43" t="str">
        <f t="shared" si="11"/>
        <v/>
      </c>
    </row>
    <row r="157" spans="2:18" ht="15" customHeight="1" x14ac:dyDescent="0.25">
      <c r="B157" s="71"/>
      <c r="C157" s="71"/>
      <c r="D157" s="71"/>
      <c r="E157" s="71"/>
      <c r="F157" s="71"/>
      <c r="G157" s="71"/>
      <c r="H157" s="71"/>
      <c r="I157" s="72"/>
      <c r="J157" s="72"/>
      <c r="K157" s="72"/>
      <c r="L157" s="72"/>
      <c r="M157" s="72"/>
      <c r="N157" s="73" t="str">
        <f t="shared" si="8"/>
        <v/>
      </c>
      <c r="O157" s="43" t="str">
        <f t="shared" si="9"/>
        <v/>
      </c>
      <c r="P157" s="71"/>
      <c r="Q157" s="75" t="str">
        <f t="shared" si="10"/>
        <v/>
      </c>
      <c r="R157" s="43" t="str">
        <f t="shared" si="11"/>
        <v/>
      </c>
    </row>
    <row r="158" spans="2:18" ht="15" customHeight="1" x14ac:dyDescent="0.25">
      <c r="B158" s="71"/>
      <c r="C158" s="71"/>
      <c r="D158" s="71"/>
      <c r="E158" s="71"/>
      <c r="F158" s="71"/>
      <c r="G158" s="71"/>
      <c r="H158" s="71"/>
      <c r="I158" s="72"/>
      <c r="J158" s="72"/>
      <c r="K158" s="72"/>
      <c r="L158" s="72"/>
      <c r="M158" s="72"/>
      <c r="N158" s="73" t="str">
        <f t="shared" si="8"/>
        <v/>
      </c>
      <c r="O158" s="43" t="str">
        <f t="shared" si="9"/>
        <v/>
      </c>
      <c r="P158" s="71"/>
      <c r="Q158" s="75" t="str">
        <f t="shared" si="10"/>
        <v/>
      </c>
      <c r="R158" s="43" t="str">
        <f t="shared" si="11"/>
        <v/>
      </c>
    </row>
    <row r="159" spans="2:18" ht="15" customHeight="1" x14ac:dyDescent="0.25">
      <c r="B159" s="71"/>
      <c r="C159" s="71"/>
      <c r="D159" s="71"/>
      <c r="E159" s="71"/>
      <c r="F159" s="71"/>
      <c r="G159" s="71"/>
      <c r="H159" s="71"/>
      <c r="I159" s="72"/>
      <c r="J159" s="72"/>
      <c r="K159" s="72"/>
      <c r="L159" s="72"/>
      <c r="M159" s="72"/>
      <c r="N159" s="73" t="str">
        <f t="shared" si="8"/>
        <v/>
      </c>
      <c r="O159" s="43" t="str">
        <f t="shared" si="9"/>
        <v/>
      </c>
      <c r="P159" s="71"/>
      <c r="Q159" s="75" t="str">
        <f t="shared" si="10"/>
        <v/>
      </c>
      <c r="R159" s="43" t="str">
        <f t="shared" si="11"/>
        <v/>
      </c>
    </row>
    <row r="160" spans="2:18" ht="15" customHeight="1" x14ac:dyDescent="0.25">
      <c r="B160" s="71"/>
      <c r="C160" s="71"/>
      <c r="D160" s="71"/>
      <c r="E160" s="71"/>
      <c r="F160" s="71"/>
      <c r="G160" s="71"/>
      <c r="H160" s="71"/>
      <c r="I160" s="72"/>
      <c r="J160" s="72"/>
      <c r="K160" s="72"/>
      <c r="L160" s="72"/>
      <c r="M160" s="72"/>
      <c r="N160" s="73" t="str">
        <f t="shared" si="8"/>
        <v/>
      </c>
      <c r="O160" s="43" t="str">
        <f t="shared" si="9"/>
        <v/>
      </c>
      <c r="P160" s="71"/>
      <c r="Q160" s="75" t="str">
        <f t="shared" si="10"/>
        <v/>
      </c>
      <c r="R160" s="43" t="str">
        <f t="shared" si="11"/>
        <v/>
      </c>
    </row>
    <row r="161" spans="2:18" ht="15" customHeight="1" x14ac:dyDescent="0.25">
      <c r="B161" s="71"/>
      <c r="C161" s="71"/>
      <c r="D161" s="71"/>
      <c r="E161" s="71"/>
      <c r="F161" s="71"/>
      <c r="G161" s="71"/>
      <c r="H161" s="71"/>
      <c r="I161" s="72"/>
      <c r="J161" s="72"/>
      <c r="K161" s="72"/>
      <c r="L161" s="72"/>
      <c r="M161" s="72"/>
      <c r="N161" s="73" t="str">
        <f t="shared" si="8"/>
        <v/>
      </c>
      <c r="O161" s="43" t="str">
        <f t="shared" si="9"/>
        <v/>
      </c>
      <c r="P161" s="71"/>
      <c r="Q161" s="75" t="str">
        <f t="shared" si="10"/>
        <v/>
      </c>
      <c r="R161" s="43" t="str">
        <f t="shared" si="11"/>
        <v/>
      </c>
    </row>
    <row r="162" spans="2:18" ht="15" customHeight="1" x14ac:dyDescent="0.25">
      <c r="B162" s="71"/>
      <c r="C162" s="71"/>
      <c r="D162" s="71"/>
      <c r="E162" s="71"/>
      <c r="F162" s="71"/>
      <c r="G162" s="71"/>
      <c r="H162" s="71"/>
      <c r="I162" s="72"/>
      <c r="J162" s="72"/>
      <c r="K162" s="72"/>
      <c r="L162" s="72"/>
      <c r="M162" s="72"/>
      <c r="N162" s="73" t="str">
        <f t="shared" si="8"/>
        <v/>
      </c>
      <c r="O162" s="43" t="str">
        <f t="shared" si="9"/>
        <v/>
      </c>
      <c r="P162" s="71"/>
      <c r="Q162" s="75" t="str">
        <f t="shared" si="10"/>
        <v/>
      </c>
      <c r="R162" s="43" t="str">
        <f t="shared" si="11"/>
        <v/>
      </c>
    </row>
    <row r="163" spans="2:18" ht="15" customHeight="1" x14ac:dyDescent="0.25">
      <c r="B163" s="71"/>
      <c r="C163" s="71"/>
      <c r="D163" s="71"/>
      <c r="E163" s="71"/>
      <c r="F163" s="71"/>
      <c r="G163" s="71"/>
      <c r="H163" s="71"/>
      <c r="I163" s="72"/>
      <c r="J163" s="72"/>
      <c r="K163" s="72"/>
      <c r="L163" s="72"/>
      <c r="M163" s="72"/>
      <c r="N163" s="73" t="str">
        <f t="shared" si="8"/>
        <v/>
      </c>
      <c r="O163" s="43" t="str">
        <f t="shared" si="9"/>
        <v/>
      </c>
      <c r="P163" s="71"/>
      <c r="Q163" s="75" t="str">
        <f t="shared" si="10"/>
        <v/>
      </c>
      <c r="R163" s="43" t="str">
        <f t="shared" si="11"/>
        <v/>
      </c>
    </row>
    <row r="164" spans="2:18" ht="15" customHeight="1" x14ac:dyDescent="0.25">
      <c r="B164" s="71"/>
      <c r="C164" s="71"/>
      <c r="D164" s="71"/>
      <c r="E164" s="71"/>
      <c r="F164" s="71"/>
      <c r="G164" s="71"/>
      <c r="H164" s="71"/>
      <c r="I164" s="72"/>
      <c r="J164" s="72"/>
      <c r="K164" s="72"/>
      <c r="L164" s="72"/>
      <c r="M164" s="72"/>
      <c r="N164" s="73" t="str">
        <f t="shared" si="8"/>
        <v/>
      </c>
      <c r="O164" s="43" t="str">
        <f t="shared" si="9"/>
        <v/>
      </c>
      <c r="P164" s="71"/>
      <c r="Q164" s="75" t="str">
        <f t="shared" si="10"/>
        <v/>
      </c>
      <c r="R164" s="43" t="str">
        <f t="shared" si="11"/>
        <v/>
      </c>
    </row>
    <row r="165" spans="2:18" ht="15" customHeight="1" x14ac:dyDescent="0.25">
      <c r="B165" s="71"/>
      <c r="C165" s="71"/>
      <c r="D165" s="71"/>
      <c r="E165" s="71"/>
      <c r="F165" s="71"/>
      <c r="G165" s="71"/>
      <c r="H165" s="71"/>
      <c r="I165" s="72"/>
      <c r="J165" s="72"/>
      <c r="K165" s="72"/>
      <c r="L165" s="72"/>
      <c r="M165" s="72"/>
      <c r="N165" s="73" t="str">
        <f t="shared" si="8"/>
        <v/>
      </c>
      <c r="O165" s="43" t="str">
        <f t="shared" si="9"/>
        <v/>
      </c>
      <c r="P165" s="71"/>
      <c r="Q165" s="75" t="str">
        <f t="shared" si="10"/>
        <v/>
      </c>
      <c r="R165" s="43" t="str">
        <f t="shared" si="11"/>
        <v/>
      </c>
    </row>
    <row r="166" spans="2:18" ht="15" customHeight="1" x14ac:dyDescent="0.25">
      <c r="B166" s="71"/>
      <c r="C166" s="71"/>
      <c r="D166" s="71"/>
      <c r="E166" s="71"/>
      <c r="F166" s="71"/>
      <c r="G166" s="71"/>
      <c r="H166" s="71"/>
      <c r="I166" s="72"/>
      <c r="J166" s="72"/>
      <c r="K166" s="72"/>
      <c r="L166" s="72"/>
      <c r="M166" s="72"/>
      <c r="N166" s="73" t="str">
        <f t="shared" si="8"/>
        <v/>
      </c>
      <c r="O166" s="43" t="str">
        <f t="shared" si="9"/>
        <v/>
      </c>
      <c r="P166" s="71"/>
      <c r="Q166" s="75" t="str">
        <f t="shared" si="10"/>
        <v/>
      </c>
      <c r="R166" s="43" t="str">
        <f t="shared" si="11"/>
        <v/>
      </c>
    </row>
    <row r="167" spans="2:18" ht="15" customHeight="1" x14ac:dyDescent="0.25">
      <c r="B167" s="71"/>
      <c r="C167" s="71"/>
      <c r="D167" s="71"/>
      <c r="E167" s="71"/>
      <c r="F167" s="71"/>
      <c r="G167" s="71"/>
      <c r="H167" s="71"/>
      <c r="I167" s="72"/>
      <c r="J167" s="72"/>
      <c r="K167" s="72"/>
      <c r="L167" s="72"/>
      <c r="M167" s="72"/>
      <c r="N167" s="73" t="str">
        <f t="shared" si="8"/>
        <v/>
      </c>
      <c r="O167" s="43" t="str">
        <f t="shared" si="9"/>
        <v/>
      </c>
      <c r="P167" s="71"/>
      <c r="Q167" s="75" t="str">
        <f t="shared" si="10"/>
        <v/>
      </c>
      <c r="R167" s="43" t="str">
        <f t="shared" si="11"/>
        <v/>
      </c>
    </row>
    <row r="168" spans="2:18" ht="15" customHeight="1" x14ac:dyDescent="0.25">
      <c r="B168" s="71"/>
      <c r="C168" s="71"/>
      <c r="D168" s="71"/>
      <c r="E168" s="71"/>
      <c r="F168" s="71"/>
      <c r="G168" s="71"/>
      <c r="H168" s="71"/>
      <c r="I168" s="72"/>
      <c r="J168" s="72"/>
      <c r="K168" s="72"/>
      <c r="L168" s="72"/>
      <c r="M168" s="72"/>
      <c r="N168" s="73" t="str">
        <f t="shared" si="8"/>
        <v/>
      </c>
      <c r="O168" s="43" t="str">
        <f t="shared" si="9"/>
        <v/>
      </c>
      <c r="P168" s="71"/>
      <c r="Q168" s="75" t="str">
        <f t="shared" si="10"/>
        <v/>
      </c>
      <c r="R168" s="43" t="str">
        <f t="shared" si="11"/>
        <v/>
      </c>
    </row>
    <row r="169" spans="2:18" ht="15" customHeight="1" x14ac:dyDescent="0.25">
      <c r="B169" s="71"/>
      <c r="C169" s="71"/>
      <c r="D169" s="71"/>
      <c r="E169" s="71"/>
      <c r="F169" s="71"/>
      <c r="G169" s="71"/>
      <c r="H169" s="71"/>
      <c r="I169" s="72"/>
      <c r="J169" s="72"/>
      <c r="K169" s="72"/>
      <c r="L169" s="72"/>
      <c r="M169" s="72"/>
      <c r="N169" s="73" t="str">
        <f t="shared" si="8"/>
        <v/>
      </c>
      <c r="O169" s="43" t="str">
        <f t="shared" si="9"/>
        <v/>
      </c>
      <c r="P169" s="71"/>
      <c r="Q169" s="75" t="str">
        <f t="shared" si="10"/>
        <v/>
      </c>
      <c r="R169" s="43" t="str">
        <f t="shared" si="11"/>
        <v/>
      </c>
    </row>
    <row r="170" spans="2:18" ht="15" customHeight="1" x14ac:dyDescent="0.25">
      <c r="B170" s="71"/>
      <c r="C170" s="71"/>
      <c r="D170" s="71"/>
      <c r="E170" s="71"/>
      <c r="F170" s="71"/>
      <c r="G170" s="71"/>
      <c r="H170" s="71"/>
      <c r="I170" s="72"/>
      <c r="J170" s="72"/>
      <c r="K170" s="72"/>
      <c r="L170" s="72"/>
      <c r="M170" s="72"/>
      <c r="N170" s="73" t="str">
        <f t="shared" si="8"/>
        <v/>
      </c>
      <c r="O170" s="43" t="str">
        <f t="shared" si="9"/>
        <v/>
      </c>
      <c r="P170" s="71"/>
      <c r="Q170" s="75" t="str">
        <f t="shared" si="10"/>
        <v/>
      </c>
      <c r="R170" s="43" t="str">
        <f t="shared" si="11"/>
        <v/>
      </c>
    </row>
    <row r="171" spans="2:18" ht="15" customHeight="1" x14ac:dyDescent="0.25">
      <c r="B171" s="71"/>
      <c r="C171" s="71"/>
      <c r="D171" s="71"/>
      <c r="E171" s="71"/>
      <c r="F171" s="71"/>
      <c r="G171" s="71"/>
      <c r="H171" s="71"/>
      <c r="I171" s="72"/>
      <c r="J171" s="72"/>
      <c r="K171" s="72"/>
      <c r="L171" s="72"/>
      <c r="M171" s="72"/>
      <c r="N171" s="73" t="str">
        <f t="shared" si="8"/>
        <v/>
      </c>
      <c r="O171" s="43" t="str">
        <f t="shared" si="9"/>
        <v/>
      </c>
      <c r="P171" s="71"/>
      <c r="Q171" s="75" t="str">
        <f t="shared" si="10"/>
        <v/>
      </c>
      <c r="R171" s="43" t="str">
        <f t="shared" si="11"/>
        <v/>
      </c>
    </row>
    <row r="172" spans="2:18" ht="15" customHeight="1" x14ac:dyDescent="0.25">
      <c r="B172" s="71"/>
      <c r="C172" s="71"/>
      <c r="D172" s="71"/>
      <c r="E172" s="71"/>
      <c r="F172" s="71"/>
      <c r="G172" s="71"/>
      <c r="H172" s="71"/>
      <c r="I172" s="72"/>
      <c r="J172" s="72"/>
      <c r="K172" s="72"/>
      <c r="L172" s="72"/>
      <c r="M172" s="72"/>
      <c r="N172" s="73" t="str">
        <f t="shared" si="8"/>
        <v/>
      </c>
      <c r="O172" s="43" t="str">
        <f t="shared" si="9"/>
        <v/>
      </c>
      <c r="P172" s="71"/>
      <c r="Q172" s="75" t="str">
        <f t="shared" si="10"/>
        <v/>
      </c>
      <c r="R172" s="43" t="str">
        <f t="shared" si="11"/>
        <v/>
      </c>
    </row>
    <row r="173" spans="2:18" ht="15" customHeight="1" x14ac:dyDescent="0.25">
      <c r="B173" s="71"/>
      <c r="C173" s="71"/>
      <c r="D173" s="71"/>
      <c r="E173" s="71"/>
      <c r="F173" s="71"/>
      <c r="G173" s="71"/>
      <c r="H173" s="71"/>
      <c r="I173" s="72"/>
      <c r="J173" s="72"/>
      <c r="K173" s="72"/>
      <c r="L173" s="72"/>
      <c r="M173" s="72"/>
      <c r="N173" s="73" t="str">
        <f t="shared" si="8"/>
        <v/>
      </c>
      <c r="O173" s="43" t="str">
        <f t="shared" si="9"/>
        <v/>
      </c>
      <c r="P173" s="71"/>
      <c r="Q173" s="75" t="str">
        <f t="shared" si="10"/>
        <v/>
      </c>
      <c r="R173" s="43" t="str">
        <f t="shared" si="11"/>
        <v/>
      </c>
    </row>
    <row r="174" spans="2:18" ht="15" customHeight="1" x14ac:dyDescent="0.25">
      <c r="B174" s="71"/>
      <c r="C174" s="71"/>
      <c r="D174" s="71"/>
      <c r="E174" s="71"/>
      <c r="F174" s="71"/>
      <c r="G174" s="71"/>
      <c r="H174" s="71"/>
      <c r="I174" s="72"/>
      <c r="J174" s="72"/>
      <c r="K174" s="72"/>
      <c r="L174" s="72"/>
      <c r="M174" s="72"/>
      <c r="N174" s="73" t="str">
        <f t="shared" si="8"/>
        <v/>
      </c>
      <c r="O174" s="43" t="str">
        <f t="shared" si="9"/>
        <v/>
      </c>
      <c r="P174" s="71"/>
      <c r="Q174" s="75" t="str">
        <f t="shared" si="10"/>
        <v/>
      </c>
      <c r="R174" s="43" t="str">
        <f t="shared" si="11"/>
        <v/>
      </c>
    </row>
    <row r="175" spans="2:18" ht="15" customHeight="1" x14ac:dyDescent="0.25">
      <c r="B175" s="71"/>
      <c r="C175" s="71"/>
      <c r="D175" s="71"/>
      <c r="E175" s="71"/>
      <c r="F175" s="71"/>
      <c r="G175" s="71"/>
      <c r="H175" s="71"/>
      <c r="I175" s="72"/>
      <c r="J175" s="72"/>
      <c r="K175" s="72"/>
      <c r="L175" s="72"/>
      <c r="M175" s="72"/>
      <c r="N175" s="73" t="str">
        <f t="shared" si="8"/>
        <v/>
      </c>
      <c r="O175" s="43" t="str">
        <f t="shared" si="9"/>
        <v/>
      </c>
      <c r="P175" s="71"/>
      <c r="Q175" s="75" t="str">
        <f t="shared" si="10"/>
        <v/>
      </c>
      <c r="R175" s="43" t="str">
        <f t="shared" si="11"/>
        <v/>
      </c>
    </row>
    <row r="176" spans="2:18" ht="15" customHeight="1" x14ac:dyDescent="0.25">
      <c r="B176" s="71"/>
      <c r="C176" s="71"/>
      <c r="D176" s="71"/>
      <c r="E176" s="71"/>
      <c r="F176" s="71"/>
      <c r="G176" s="71"/>
      <c r="H176" s="71"/>
      <c r="I176" s="72"/>
      <c r="J176" s="72"/>
      <c r="K176" s="72"/>
      <c r="L176" s="72"/>
      <c r="M176" s="72"/>
      <c r="N176" s="73" t="str">
        <f t="shared" si="8"/>
        <v/>
      </c>
      <c r="O176" s="43" t="str">
        <f t="shared" si="9"/>
        <v/>
      </c>
      <c r="P176" s="71"/>
      <c r="Q176" s="75" t="str">
        <f t="shared" si="10"/>
        <v/>
      </c>
      <c r="R176" s="43" t="str">
        <f t="shared" si="11"/>
        <v/>
      </c>
    </row>
    <row r="177" spans="2:18" ht="15" customHeight="1" x14ac:dyDescent="0.25">
      <c r="B177" s="71"/>
      <c r="C177" s="71"/>
      <c r="D177" s="71"/>
      <c r="E177" s="71"/>
      <c r="F177" s="71"/>
      <c r="G177" s="71"/>
      <c r="H177" s="71"/>
      <c r="I177" s="72"/>
      <c r="J177" s="72"/>
      <c r="K177" s="72"/>
      <c r="L177" s="72"/>
      <c r="M177" s="72"/>
      <c r="N177" s="73" t="str">
        <f t="shared" si="8"/>
        <v/>
      </c>
      <c r="O177" s="43" t="str">
        <f t="shared" si="9"/>
        <v/>
      </c>
      <c r="P177" s="71"/>
      <c r="Q177" s="75" t="str">
        <f t="shared" si="10"/>
        <v/>
      </c>
      <c r="R177" s="43" t="str">
        <f t="shared" si="11"/>
        <v/>
      </c>
    </row>
    <row r="178" spans="2:18" ht="15" customHeight="1" x14ac:dyDescent="0.25">
      <c r="B178" s="71"/>
      <c r="C178" s="71"/>
      <c r="D178" s="71"/>
      <c r="E178" s="71"/>
      <c r="F178" s="71"/>
      <c r="G178" s="71"/>
      <c r="H178" s="71"/>
      <c r="I178" s="72"/>
      <c r="J178" s="72"/>
      <c r="K178" s="72"/>
      <c r="L178" s="72"/>
      <c r="M178" s="72"/>
      <c r="N178" s="73" t="str">
        <f t="shared" si="8"/>
        <v/>
      </c>
      <c r="O178" s="43" t="str">
        <f t="shared" si="9"/>
        <v/>
      </c>
      <c r="P178" s="71"/>
      <c r="Q178" s="75" t="str">
        <f t="shared" si="10"/>
        <v/>
      </c>
      <c r="R178" s="43" t="str">
        <f t="shared" si="11"/>
        <v/>
      </c>
    </row>
    <row r="179" spans="2:18" ht="15" customHeight="1" x14ac:dyDescent="0.25">
      <c r="B179" s="71"/>
      <c r="C179" s="71"/>
      <c r="D179" s="71"/>
      <c r="E179" s="71"/>
      <c r="F179" s="71"/>
      <c r="G179" s="71"/>
      <c r="H179" s="71"/>
      <c r="I179" s="72"/>
      <c r="J179" s="72"/>
      <c r="K179" s="72"/>
      <c r="L179" s="72"/>
      <c r="M179" s="72"/>
      <c r="N179" s="73" t="str">
        <f t="shared" si="8"/>
        <v/>
      </c>
      <c r="O179" s="43" t="str">
        <f t="shared" si="9"/>
        <v/>
      </c>
      <c r="P179" s="71"/>
      <c r="Q179" s="75" t="str">
        <f t="shared" si="10"/>
        <v/>
      </c>
      <c r="R179" s="43" t="str">
        <f t="shared" si="11"/>
        <v/>
      </c>
    </row>
    <row r="180" spans="2:18" ht="15" customHeight="1" x14ac:dyDescent="0.25">
      <c r="B180" s="71"/>
      <c r="C180" s="71"/>
      <c r="D180" s="71"/>
      <c r="E180" s="71"/>
      <c r="F180" s="71"/>
      <c r="G180" s="71"/>
      <c r="H180" s="71"/>
      <c r="I180" s="72"/>
      <c r="J180" s="72"/>
      <c r="K180" s="72"/>
      <c r="L180" s="72"/>
      <c r="M180" s="72"/>
      <c r="N180" s="73" t="str">
        <f t="shared" si="8"/>
        <v/>
      </c>
      <c r="O180" s="43" t="str">
        <f t="shared" si="9"/>
        <v/>
      </c>
      <c r="P180" s="71"/>
      <c r="Q180" s="75" t="str">
        <f t="shared" si="10"/>
        <v/>
      </c>
      <c r="R180" s="43" t="str">
        <f t="shared" si="11"/>
        <v/>
      </c>
    </row>
    <row r="181" spans="2:18" ht="15" customHeight="1" x14ac:dyDescent="0.25">
      <c r="B181" s="71"/>
      <c r="C181" s="71"/>
      <c r="D181" s="71"/>
      <c r="E181" s="71"/>
      <c r="F181" s="71"/>
      <c r="G181" s="71"/>
      <c r="H181" s="71"/>
      <c r="I181" s="72"/>
      <c r="J181" s="72"/>
      <c r="K181" s="72"/>
      <c r="L181" s="72"/>
      <c r="M181" s="72"/>
      <c r="N181" s="73" t="str">
        <f t="shared" si="8"/>
        <v/>
      </c>
      <c r="O181" s="43" t="str">
        <f t="shared" si="9"/>
        <v/>
      </c>
      <c r="P181" s="71"/>
      <c r="Q181" s="75" t="str">
        <f t="shared" si="10"/>
        <v/>
      </c>
      <c r="R181" s="43" t="str">
        <f t="shared" si="11"/>
        <v/>
      </c>
    </row>
    <row r="182" spans="2:18" ht="15" customHeight="1" x14ac:dyDescent="0.25">
      <c r="B182" s="71"/>
      <c r="C182" s="71"/>
      <c r="D182" s="71"/>
      <c r="E182" s="71"/>
      <c r="F182" s="71"/>
      <c r="G182" s="71"/>
      <c r="H182" s="71"/>
      <c r="I182" s="72"/>
      <c r="J182" s="72"/>
      <c r="K182" s="72"/>
      <c r="L182" s="72"/>
      <c r="M182" s="72"/>
      <c r="N182" s="73" t="str">
        <f t="shared" si="8"/>
        <v/>
      </c>
      <c r="O182" s="43" t="str">
        <f t="shared" si="9"/>
        <v/>
      </c>
      <c r="P182" s="71"/>
      <c r="Q182" s="75" t="str">
        <f t="shared" si="10"/>
        <v/>
      </c>
      <c r="R182" s="43" t="str">
        <f t="shared" si="11"/>
        <v/>
      </c>
    </row>
    <row r="183" spans="2:18" ht="15" customHeight="1" x14ac:dyDescent="0.25">
      <c r="B183" s="71"/>
      <c r="C183" s="71"/>
      <c r="D183" s="71"/>
      <c r="E183" s="71"/>
      <c r="F183" s="71"/>
      <c r="G183" s="71"/>
      <c r="H183" s="71"/>
      <c r="I183" s="72"/>
      <c r="J183" s="72"/>
      <c r="K183" s="72"/>
      <c r="L183" s="72"/>
      <c r="M183" s="72"/>
      <c r="N183" s="73" t="str">
        <f t="shared" si="8"/>
        <v/>
      </c>
      <c r="O183" s="43" t="str">
        <f t="shared" si="9"/>
        <v/>
      </c>
      <c r="P183" s="71"/>
      <c r="Q183" s="75" t="str">
        <f t="shared" si="10"/>
        <v/>
      </c>
      <c r="R183" s="43" t="str">
        <f t="shared" si="11"/>
        <v/>
      </c>
    </row>
    <row r="184" spans="2:18" ht="15" customHeight="1" x14ac:dyDescent="0.25">
      <c r="B184" s="71"/>
      <c r="C184" s="71"/>
      <c r="D184" s="71"/>
      <c r="E184" s="71"/>
      <c r="F184" s="71"/>
      <c r="G184" s="71"/>
      <c r="H184" s="71"/>
      <c r="I184" s="72"/>
      <c r="J184" s="72"/>
      <c r="K184" s="72"/>
      <c r="L184" s="72"/>
      <c r="M184" s="72"/>
      <c r="N184" s="73" t="str">
        <f t="shared" si="8"/>
        <v/>
      </c>
      <c r="O184" s="43" t="str">
        <f t="shared" si="9"/>
        <v/>
      </c>
      <c r="P184" s="71"/>
      <c r="Q184" s="75" t="str">
        <f t="shared" si="10"/>
        <v/>
      </c>
      <c r="R184" s="43" t="str">
        <f t="shared" si="11"/>
        <v/>
      </c>
    </row>
    <row r="185" spans="2:18" ht="15" customHeight="1" x14ac:dyDescent="0.25">
      <c r="B185" s="71"/>
      <c r="C185" s="71"/>
      <c r="D185" s="71"/>
      <c r="E185" s="71"/>
      <c r="F185" s="71"/>
      <c r="G185" s="71"/>
      <c r="H185" s="71"/>
      <c r="I185" s="72"/>
      <c r="J185" s="72"/>
      <c r="K185" s="72"/>
      <c r="L185" s="72"/>
      <c r="M185" s="72"/>
      <c r="N185" s="73" t="str">
        <f t="shared" si="8"/>
        <v/>
      </c>
      <c r="O185" s="43" t="str">
        <f t="shared" si="9"/>
        <v/>
      </c>
      <c r="P185" s="71"/>
      <c r="Q185" s="75" t="str">
        <f t="shared" si="10"/>
        <v/>
      </c>
      <c r="R185" s="43" t="str">
        <f t="shared" si="11"/>
        <v/>
      </c>
    </row>
    <row r="186" spans="2:18" ht="15" customHeight="1" x14ac:dyDescent="0.25">
      <c r="B186" s="71"/>
      <c r="C186" s="71"/>
      <c r="D186" s="71"/>
      <c r="E186" s="71"/>
      <c r="F186" s="71"/>
      <c r="G186" s="71"/>
      <c r="H186" s="71"/>
      <c r="I186" s="72"/>
      <c r="J186" s="72"/>
      <c r="K186" s="72"/>
      <c r="L186" s="72"/>
      <c r="M186" s="72"/>
      <c r="N186" s="73" t="str">
        <f t="shared" si="8"/>
        <v/>
      </c>
      <c r="O186" s="43" t="str">
        <f t="shared" si="9"/>
        <v/>
      </c>
      <c r="P186" s="71"/>
      <c r="Q186" s="75" t="str">
        <f t="shared" si="10"/>
        <v/>
      </c>
      <c r="R186" s="43" t="str">
        <f t="shared" si="11"/>
        <v/>
      </c>
    </row>
    <row r="187" spans="2:18" ht="15" customHeight="1" x14ac:dyDescent="0.25">
      <c r="B187" s="71"/>
      <c r="C187" s="71"/>
      <c r="D187" s="71"/>
      <c r="E187" s="71"/>
      <c r="F187" s="71"/>
      <c r="G187" s="71"/>
      <c r="H187" s="71"/>
      <c r="I187" s="72"/>
      <c r="J187" s="72"/>
      <c r="K187" s="72"/>
      <c r="L187" s="72"/>
      <c r="M187" s="72"/>
      <c r="N187" s="73" t="str">
        <f t="shared" si="8"/>
        <v/>
      </c>
      <c r="O187" s="43" t="str">
        <f t="shared" si="9"/>
        <v/>
      </c>
      <c r="P187" s="71"/>
      <c r="Q187" s="75" t="str">
        <f t="shared" si="10"/>
        <v/>
      </c>
      <c r="R187" s="43" t="str">
        <f t="shared" si="11"/>
        <v/>
      </c>
    </row>
    <row r="188" spans="2:18" ht="15" customHeight="1" x14ac:dyDescent="0.25">
      <c r="B188" s="71"/>
      <c r="C188" s="71"/>
      <c r="D188" s="71"/>
      <c r="E188" s="71"/>
      <c r="F188" s="71"/>
      <c r="G188" s="71"/>
      <c r="H188" s="71"/>
      <c r="I188" s="72"/>
      <c r="J188" s="72"/>
      <c r="K188" s="72"/>
      <c r="L188" s="72"/>
      <c r="M188" s="72"/>
      <c r="N188" s="73" t="str">
        <f t="shared" si="8"/>
        <v/>
      </c>
      <c r="O188" s="43" t="str">
        <f t="shared" si="9"/>
        <v/>
      </c>
      <c r="P188" s="71"/>
      <c r="Q188" s="75" t="str">
        <f t="shared" si="10"/>
        <v/>
      </c>
      <c r="R188" s="43" t="str">
        <f t="shared" si="11"/>
        <v/>
      </c>
    </row>
    <row r="189" spans="2:18" ht="15" customHeight="1" x14ac:dyDescent="0.25">
      <c r="B189" s="71"/>
      <c r="C189" s="71"/>
      <c r="D189" s="71"/>
      <c r="E189" s="71"/>
      <c r="F189" s="71"/>
      <c r="G189" s="71"/>
      <c r="H189" s="71"/>
      <c r="I189" s="72"/>
      <c r="J189" s="72"/>
      <c r="K189" s="72"/>
      <c r="L189" s="72"/>
      <c r="M189" s="72"/>
      <c r="N189" s="73" t="str">
        <f t="shared" si="8"/>
        <v/>
      </c>
      <c r="O189" s="43" t="str">
        <f t="shared" si="9"/>
        <v/>
      </c>
      <c r="P189" s="71"/>
      <c r="Q189" s="75" t="str">
        <f t="shared" si="10"/>
        <v/>
      </c>
      <c r="R189" s="43" t="str">
        <f t="shared" si="11"/>
        <v/>
      </c>
    </row>
    <row r="190" spans="2:18" ht="15" customHeight="1" x14ac:dyDescent="0.25">
      <c r="B190" s="71"/>
      <c r="C190" s="71"/>
      <c r="D190" s="71"/>
      <c r="E190" s="71"/>
      <c r="F190" s="71"/>
      <c r="G190" s="71"/>
      <c r="H190" s="71"/>
      <c r="I190" s="72"/>
      <c r="J190" s="72"/>
      <c r="K190" s="72"/>
      <c r="L190" s="72"/>
      <c r="M190" s="72"/>
      <c r="N190" s="73" t="str">
        <f t="shared" si="8"/>
        <v/>
      </c>
      <c r="O190" s="43" t="str">
        <f t="shared" si="9"/>
        <v/>
      </c>
      <c r="P190" s="71"/>
      <c r="Q190" s="75" t="str">
        <f t="shared" si="10"/>
        <v/>
      </c>
      <c r="R190" s="43" t="str">
        <f t="shared" si="11"/>
        <v/>
      </c>
    </row>
    <row r="191" spans="2:18" ht="15" customHeight="1" x14ac:dyDescent="0.25">
      <c r="B191" s="71"/>
      <c r="C191" s="71"/>
      <c r="D191" s="71"/>
      <c r="E191" s="71"/>
      <c r="F191" s="71"/>
      <c r="G191" s="71"/>
      <c r="H191" s="71"/>
      <c r="I191" s="72"/>
      <c r="J191" s="72"/>
      <c r="K191" s="72"/>
      <c r="L191" s="72"/>
      <c r="M191" s="72"/>
      <c r="N191" s="73" t="str">
        <f t="shared" si="8"/>
        <v/>
      </c>
      <c r="O191" s="43" t="str">
        <f t="shared" si="9"/>
        <v/>
      </c>
      <c r="P191" s="71"/>
      <c r="Q191" s="75" t="str">
        <f t="shared" si="10"/>
        <v/>
      </c>
      <c r="R191" s="43" t="str">
        <f t="shared" si="11"/>
        <v/>
      </c>
    </row>
    <row r="192" spans="2:18" ht="15" customHeight="1" x14ac:dyDescent="0.25">
      <c r="B192" s="71"/>
      <c r="C192" s="71"/>
      <c r="D192" s="71"/>
      <c r="E192" s="71"/>
      <c r="F192" s="71"/>
      <c r="G192" s="71"/>
      <c r="H192" s="71"/>
      <c r="I192" s="72"/>
      <c r="J192" s="72"/>
      <c r="K192" s="72"/>
      <c r="L192" s="72"/>
      <c r="M192" s="72"/>
      <c r="N192" s="73" t="str">
        <f t="shared" si="8"/>
        <v/>
      </c>
      <c r="O192" s="43" t="str">
        <f t="shared" si="9"/>
        <v/>
      </c>
      <c r="P192" s="71"/>
      <c r="Q192" s="75" t="str">
        <f t="shared" si="10"/>
        <v/>
      </c>
      <c r="R192" s="43" t="str">
        <f t="shared" si="11"/>
        <v/>
      </c>
    </row>
    <row r="193" spans="2:18" ht="15" customHeight="1" x14ac:dyDescent="0.25">
      <c r="B193" s="71"/>
      <c r="C193" s="71"/>
      <c r="D193" s="71"/>
      <c r="E193" s="71"/>
      <c r="F193" s="71"/>
      <c r="G193" s="71"/>
      <c r="H193" s="71"/>
      <c r="I193" s="72"/>
      <c r="J193" s="72"/>
      <c r="K193" s="72"/>
      <c r="L193" s="72"/>
      <c r="M193" s="72"/>
      <c r="N193" s="73" t="str">
        <f t="shared" si="8"/>
        <v/>
      </c>
      <c r="O193" s="43" t="str">
        <f t="shared" si="9"/>
        <v/>
      </c>
      <c r="P193" s="71"/>
      <c r="Q193" s="75" t="str">
        <f t="shared" si="10"/>
        <v/>
      </c>
      <c r="R193" s="43" t="str">
        <f t="shared" si="11"/>
        <v/>
      </c>
    </row>
    <row r="194" spans="2:18" ht="15" customHeight="1" x14ac:dyDescent="0.25">
      <c r="B194" s="71"/>
      <c r="C194" s="71"/>
      <c r="D194" s="71"/>
      <c r="E194" s="71"/>
      <c r="F194" s="71"/>
      <c r="G194" s="71"/>
      <c r="H194" s="71"/>
      <c r="I194" s="72"/>
      <c r="J194" s="72"/>
      <c r="K194" s="72"/>
      <c r="L194" s="72"/>
      <c r="M194" s="72"/>
      <c r="N194" s="73" t="str">
        <f t="shared" si="8"/>
        <v/>
      </c>
      <c r="O194" s="43" t="str">
        <f t="shared" si="9"/>
        <v/>
      </c>
      <c r="P194" s="71"/>
      <c r="Q194" s="75" t="str">
        <f t="shared" si="10"/>
        <v/>
      </c>
      <c r="R194" s="43" t="str">
        <f t="shared" si="11"/>
        <v/>
      </c>
    </row>
    <row r="195" spans="2:18" ht="15" customHeight="1" x14ac:dyDescent="0.25">
      <c r="B195" s="71"/>
      <c r="C195" s="71"/>
      <c r="D195" s="71"/>
      <c r="E195" s="71"/>
      <c r="F195" s="71"/>
      <c r="G195" s="71"/>
      <c r="H195" s="71"/>
      <c r="I195" s="72"/>
      <c r="J195" s="72"/>
      <c r="K195" s="72"/>
      <c r="L195" s="72"/>
      <c r="M195" s="72"/>
      <c r="N195" s="73" t="str">
        <f t="shared" si="8"/>
        <v/>
      </c>
      <c r="O195" s="43" t="str">
        <f t="shared" si="9"/>
        <v/>
      </c>
      <c r="P195" s="71"/>
      <c r="Q195" s="75" t="str">
        <f t="shared" si="10"/>
        <v/>
      </c>
      <c r="R195" s="43" t="str">
        <f t="shared" si="11"/>
        <v/>
      </c>
    </row>
    <row r="196" spans="2:18" ht="15" customHeight="1" x14ac:dyDescent="0.25">
      <c r="B196" s="71"/>
      <c r="C196" s="71"/>
      <c r="D196" s="71"/>
      <c r="E196" s="71"/>
      <c r="F196" s="71"/>
      <c r="G196" s="71"/>
      <c r="H196" s="71"/>
      <c r="I196" s="72"/>
      <c r="J196" s="72"/>
      <c r="K196" s="72"/>
      <c r="L196" s="72"/>
      <c r="M196" s="72"/>
      <c r="N196" s="73" t="str">
        <f t="shared" si="8"/>
        <v/>
      </c>
      <c r="O196" s="43" t="str">
        <f t="shared" si="9"/>
        <v/>
      </c>
      <c r="P196" s="71"/>
      <c r="Q196" s="75" t="str">
        <f t="shared" si="10"/>
        <v/>
      </c>
      <c r="R196" s="43" t="str">
        <f t="shared" si="11"/>
        <v/>
      </c>
    </row>
    <row r="197" spans="2:18" ht="15" customHeight="1" x14ac:dyDescent="0.25">
      <c r="B197" s="71"/>
      <c r="C197" s="71"/>
      <c r="D197" s="71"/>
      <c r="E197" s="71"/>
      <c r="F197" s="71"/>
      <c r="G197" s="71"/>
      <c r="H197" s="71"/>
      <c r="I197" s="72"/>
      <c r="J197" s="72"/>
      <c r="K197" s="72"/>
      <c r="L197" s="72"/>
      <c r="M197" s="72"/>
      <c r="N197" s="73" t="str">
        <f t="shared" si="8"/>
        <v/>
      </c>
      <c r="O197" s="43" t="str">
        <f t="shared" si="9"/>
        <v/>
      </c>
      <c r="P197" s="71"/>
      <c r="Q197" s="75" t="str">
        <f t="shared" si="10"/>
        <v/>
      </c>
      <c r="R197" s="43" t="str">
        <f t="shared" si="11"/>
        <v/>
      </c>
    </row>
    <row r="198" spans="2:18" ht="15" customHeight="1" x14ac:dyDescent="0.25">
      <c r="B198" s="71"/>
      <c r="C198" s="71"/>
      <c r="D198" s="71"/>
      <c r="E198" s="71"/>
      <c r="F198" s="71"/>
      <c r="G198" s="71"/>
      <c r="H198" s="71"/>
      <c r="I198" s="72"/>
      <c r="J198" s="72"/>
      <c r="K198" s="72"/>
      <c r="L198" s="72"/>
      <c r="M198" s="72"/>
      <c r="N198" s="73" t="str">
        <f t="shared" si="8"/>
        <v/>
      </c>
      <c r="O198" s="43" t="str">
        <f t="shared" si="9"/>
        <v/>
      </c>
      <c r="P198" s="71"/>
      <c r="Q198" s="75" t="str">
        <f t="shared" si="10"/>
        <v/>
      </c>
      <c r="R198" s="43" t="str">
        <f t="shared" si="11"/>
        <v/>
      </c>
    </row>
    <row r="199" spans="2:18" ht="15" customHeight="1" x14ac:dyDescent="0.25">
      <c r="B199" s="71"/>
      <c r="C199" s="71"/>
      <c r="D199" s="71"/>
      <c r="E199" s="71"/>
      <c r="F199" s="71"/>
      <c r="G199" s="71"/>
      <c r="H199" s="71"/>
      <c r="I199" s="72"/>
      <c r="J199" s="72"/>
      <c r="K199" s="72"/>
      <c r="L199" s="72"/>
      <c r="M199" s="72"/>
      <c r="N199" s="73" t="str">
        <f t="shared" si="8"/>
        <v/>
      </c>
      <c r="O199" s="43" t="str">
        <f t="shared" si="9"/>
        <v/>
      </c>
      <c r="P199" s="71"/>
      <c r="Q199" s="75" t="str">
        <f t="shared" si="10"/>
        <v/>
      </c>
      <c r="R199" s="43" t="str">
        <f t="shared" si="11"/>
        <v/>
      </c>
    </row>
    <row r="200" spans="2:18" ht="15" customHeight="1" x14ac:dyDescent="0.25">
      <c r="B200" s="71"/>
      <c r="C200" s="71"/>
      <c r="D200" s="71"/>
      <c r="E200" s="71"/>
      <c r="F200" s="71"/>
      <c r="G200" s="71"/>
      <c r="H200" s="71"/>
      <c r="I200" s="72"/>
      <c r="J200" s="72"/>
      <c r="K200" s="72"/>
      <c r="L200" s="72"/>
      <c r="M200" s="72"/>
      <c r="N200" s="73" t="str">
        <f t="shared" si="8"/>
        <v/>
      </c>
      <c r="O200" s="43" t="str">
        <f t="shared" si="9"/>
        <v/>
      </c>
      <c r="P200" s="71"/>
      <c r="Q200" s="75" t="str">
        <f t="shared" si="10"/>
        <v/>
      </c>
      <c r="R200" s="43" t="str">
        <f t="shared" si="11"/>
        <v/>
      </c>
    </row>
    <row r="201" spans="2:18" ht="15" customHeight="1" x14ac:dyDescent="0.25">
      <c r="B201" s="71"/>
      <c r="C201" s="71"/>
      <c r="D201" s="71"/>
      <c r="E201" s="71"/>
      <c r="F201" s="71"/>
      <c r="G201" s="71"/>
      <c r="H201" s="71"/>
      <c r="I201" s="72"/>
      <c r="J201" s="72"/>
      <c r="K201" s="72"/>
      <c r="L201" s="72"/>
      <c r="M201" s="72"/>
      <c r="N201" s="73" t="str">
        <f t="shared" si="8"/>
        <v/>
      </c>
      <c r="O201" s="43" t="str">
        <f t="shared" si="9"/>
        <v/>
      </c>
      <c r="P201" s="71"/>
      <c r="Q201" s="75" t="str">
        <f t="shared" si="10"/>
        <v/>
      </c>
      <c r="R201" s="43" t="str">
        <f t="shared" si="11"/>
        <v/>
      </c>
    </row>
    <row r="202" spans="2:18" ht="15" customHeight="1" x14ac:dyDescent="0.25">
      <c r="B202" s="71"/>
      <c r="C202" s="71"/>
      <c r="D202" s="71"/>
      <c r="E202" s="71"/>
      <c r="F202" s="71"/>
      <c r="G202" s="71"/>
      <c r="H202" s="71"/>
      <c r="I202" s="72"/>
      <c r="J202" s="72"/>
      <c r="K202" s="72"/>
      <c r="L202" s="72"/>
      <c r="M202" s="72"/>
      <c r="N202" s="73" t="str">
        <f t="shared" si="8"/>
        <v/>
      </c>
      <c r="O202" s="43" t="str">
        <f t="shared" si="9"/>
        <v/>
      </c>
      <c r="P202" s="71"/>
      <c r="Q202" s="75" t="str">
        <f t="shared" si="10"/>
        <v/>
      </c>
      <c r="R202" s="43" t="str">
        <f t="shared" si="11"/>
        <v/>
      </c>
    </row>
    <row r="203" spans="2:18" ht="15" customHeight="1" x14ac:dyDescent="0.25">
      <c r="B203" s="71"/>
      <c r="C203" s="71"/>
      <c r="D203" s="71"/>
      <c r="E203" s="71"/>
      <c r="F203" s="71"/>
      <c r="G203" s="71"/>
      <c r="H203" s="71"/>
      <c r="I203" s="72"/>
      <c r="J203" s="72"/>
      <c r="K203" s="72"/>
      <c r="L203" s="72"/>
      <c r="M203" s="72"/>
      <c r="N203" s="73" t="str">
        <f t="shared" si="8"/>
        <v/>
      </c>
      <c r="O203" s="43" t="str">
        <f t="shared" si="9"/>
        <v/>
      </c>
      <c r="P203" s="71"/>
      <c r="Q203" s="75" t="str">
        <f t="shared" si="10"/>
        <v/>
      </c>
      <c r="R203" s="43" t="str">
        <f t="shared" si="11"/>
        <v/>
      </c>
    </row>
    <row r="204" spans="2:18" ht="15" customHeight="1" x14ac:dyDescent="0.25">
      <c r="B204" s="71"/>
      <c r="C204" s="71"/>
      <c r="D204" s="71"/>
      <c r="E204" s="71"/>
      <c r="F204" s="71"/>
      <c r="G204" s="71"/>
      <c r="H204" s="71"/>
      <c r="I204" s="72"/>
      <c r="J204" s="72"/>
      <c r="K204" s="72"/>
      <c r="L204" s="72"/>
      <c r="M204" s="72"/>
      <c r="N204" s="73" t="str">
        <f t="shared" ref="N204:N267" si="12">IF(B204&lt;&gt;"",20%,"")</f>
        <v/>
      </c>
      <c r="O204" s="43" t="str">
        <f t="shared" ref="O204:O267" si="13">IF(B204&lt;&gt;"",ROUND(B204*(1+N204),2),"")</f>
        <v/>
      </c>
      <c r="P204" s="71"/>
      <c r="Q204" s="75" t="str">
        <f t="shared" ref="Q204:Q267" si="14">IF(C204&lt;&gt;"",110,"")</f>
        <v/>
      </c>
      <c r="R204" s="43" t="str">
        <f t="shared" ref="R204:R267" si="15">IF(OR(P204="",Q204=""),"",ROUND(P204*Q204,2))</f>
        <v/>
      </c>
    </row>
    <row r="205" spans="2:18" ht="15" customHeight="1" x14ac:dyDescent="0.25">
      <c r="B205" s="71"/>
      <c r="C205" s="71"/>
      <c r="D205" s="71"/>
      <c r="E205" s="71"/>
      <c r="F205" s="71"/>
      <c r="G205" s="71"/>
      <c r="H205" s="71"/>
      <c r="I205" s="72"/>
      <c r="J205" s="72"/>
      <c r="K205" s="72"/>
      <c r="L205" s="72"/>
      <c r="M205" s="72"/>
      <c r="N205" s="73" t="str">
        <f t="shared" si="12"/>
        <v/>
      </c>
      <c r="O205" s="43" t="str">
        <f t="shared" si="13"/>
        <v/>
      </c>
      <c r="P205" s="71"/>
      <c r="Q205" s="75" t="str">
        <f t="shared" si="14"/>
        <v/>
      </c>
      <c r="R205" s="43" t="str">
        <f t="shared" si="15"/>
        <v/>
      </c>
    </row>
    <row r="206" spans="2:18" ht="15" customHeight="1" x14ac:dyDescent="0.25">
      <c r="B206" s="71"/>
      <c r="C206" s="71"/>
      <c r="D206" s="71"/>
      <c r="E206" s="71"/>
      <c r="F206" s="71"/>
      <c r="G206" s="71"/>
      <c r="H206" s="71"/>
      <c r="I206" s="72"/>
      <c r="J206" s="72"/>
      <c r="K206" s="72"/>
      <c r="L206" s="72"/>
      <c r="M206" s="72"/>
      <c r="N206" s="73" t="str">
        <f t="shared" si="12"/>
        <v/>
      </c>
      <c r="O206" s="43" t="str">
        <f t="shared" si="13"/>
        <v/>
      </c>
      <c r="P206" s="71"/>
      <c r="Q206" s="75" t="str">
        <f t="shared" si="14"/>
        <v/>
      </c>
      <c r="R206" s="43" t="str">
        <f t="shared" si="15"/>
        <v/>
      </c>
    </row>
    <row r="207" spans="2:18" ht="15" customHeight="1" x14ac:dyDescent="0.25">
      <c r="B207" s="71"/>
      <c r="C207" s="71"/>
      <c r="D207" s="71"/>
      <c r="E207" s="71"/>
      <c r="F207" s="71"/>
      <c r="G207" s="71"/>
      <c r="H207" s="71"/>
      <c r="I207" s="72"/>
      <c r="J207" s="72"/>
      <c r="K207" s="72"/>
      <c r="L207" s="72"/>
      <c r="M207" s="72"/>
      <c r="N207" s="73" t="str">
        <f t="shared" si="12"/>
        <v/>
      </c>
      <c r="O207" s="43" t="str">
        <f t="shared" si="13"/>
        <v/>
      </c>
      <c r="P207" s="71"/>
      <c r="Q207" s="75" t="str">
        <f t="shared" si="14"/>
        <v/>
      </c>
      <c r="R207" s="43" t="str">
        <f t="shared" si="15"/>
        <v/>
      </c>
    </row>
    <row r="208" spans="2:18" ht="15" customHeight="1" x14ac:dyDescent="0.25">
      <c r="B208" s="71"/>
      <c r="C208" s="71"/>
      <c r="D208" s="71"/>
      <c r="E208" s="71"/>
      <c r="F208" s="71"/>
      <c r="G208" s="71"/>
      <c r="H208" s="71"/>
      <c r="I208" s="72"/>
      <c r="J208" s="72"/>
      <c r="K208" s="72"/>
      <c r="L208" s="72"/>
      <c r="M208" s="72"/>
      <c r="N208" s="73" t="str">
        <f t="shared" si="12"/>
        <v/>
      </c>
      <c r="O208" s="43" t="str">
        <f t="shared" si="13"/>
        <v/>
      </c>
      <c r="P208" s="71"/>
      <c r="Q208" s="75" t="str">
        <f t="shared" si="14"/>
        <v/>
      </c>
      <c r="R208" s="43" t="str">
        <f t="shared" si="15"/>
        <v/>
      </c>
    </row>
    <row r="209" spans="2:18" ht="15" customHeight="1" x14ac:dyDescent="0.25">
      <c r="B209" s="71"/>
      <c r="C209" s="71"/>
      <c r="D209" s="71"/>
      <c r="E209" s="71"/>
      <c r="F209" s="71"/>
      <c r="G209" s="71"/>
      <c r="H209" s="71"/>
      <c r="I209" s="72"/>
      <c r="J209" s="72"/>
      <c r="K209" s="72"/>
      <c r="L209" s="72"/>
      <c r="M209" s="72"/>
      <c r="N209" s="73" t="str">
        <f t="shared" si="12"/>
        <v/>
      </c>
      <c r="O209" s="43" t="str">
        <f t="shared" si="13"/>
        <v/>
      </c>
      <c r="P209" s="71"/>
      <c r="Q209" s="75" t="str">
        <f t="shared" si="14"/>
        <v/>
      </c>
      <c r="R209" s="43" t="str">
        <f t="shared" si="15"/>
        <v/>
      </c>
    </row>
    <row r="210" spans="2:18" ht="15" customHeight="1" x14ac:dyDescent="0.25">
      <c r="B210" s="71"/>
      <c r="C210" s="71"/>
      <c r="D210" s="71"/>
      <c r="E210" s="71"/>
      <c r="F210" s="71"/>
      <c r="G210" s="71"/>
      <c r="H210" s="71"/>
      <c r="I210" s="72"/>
      <c r="J210" s="72"/>
      <c r="K210" s="72"/>
      <c r="L210" s="72"/>
      <c r="M210" s="72"/>
      <c r="N210" s="73" t="str">
        <f t="shared" si="12"/>
        <v/>
      </c>
      <c r="O210" s="43" t="str">
        <f t="shared" si="13"/>
        <v/>
      </c>
      <c r="P210" s="71"/>
      <c r="Q210" s="75" t="str">
        <f t="shared" si="14"/>
        <v/>
      </c>
      <c r="R210" s="43" t="str">
        <f t="shared" si="15"/>
        <v/>
      </c>
    </row>
    <row r="211" spans="2:18" ht="15" customHeight="1" x14ac:dyDescent="0.25">
      <c r="B211" s="71"/>
      <c r="C211" s="71"/>
      <c r="D211" s="71"/>
      <c r="E211" s="71"/>
      <c r="F211" s="71"/>
      <c r="G211" s="71"/>
      <c r="H211" s="71"/>
      <c r="I211" s="72"/>
      <c r="J211" s="72"/>
      <c r="K211" s="72"/>
      <c r="L211" s="72"/>
      <c r="M211" s="72"/>
      <c r="N211" s="73" t="str">
        <f t="shared" si="12"/>
        <v/>
      </c>
      <c r="O211" s="43" t="str">
        <f t="shared" si="13"/>
        <v/>
      </c>
      <c r="P211" s="71"/>
      <c r="Q211" s="75" t="str">
        <f t="shared" si="14"/>
        <v/>
      </c>
      <c r="R211" s="43" t="str">
        <f t="shared" si="15"/>
        <v/>
      </c>
    </row>
    <row r="212" spans="2:18" ht="15" customHeight="1" x14ac:dyDescent="0.25">
      <c r="B212" s="71"/>
      <c r="C212" s="71"/>
      <c r="D212" s="71"/>
      <c r="E212" s="71"/>
      <c r="F212" s="71"/>
      <c r="G212" s="71"/>
      <c r="H212" s="71"/>
      <c r="I212" s="72"/>
      <c r="J212" s="72"/>
      <c r="K212" s="72"/>
      <c r="L212" s="72"/>
      <c r="M212" s="72"/>
      <c r="N212" s="73" t="str">
        <f t="shared" si="12"/>
        <v/>
      </c>
      <c r="O212" s="43" t="str">
        <f t="shared" si="13"/>
        <v/>
      </c>
      <c r="P212" s="71"/>
      <c r="Q212" s="75" t="str">
        <f t="shared" si="14"/>
        <v/>
      </c>
      <c r="R212" s="43" t="str">
        <f t="shared" si="15"/>
        <v/>
      </c>
    </row>
    <row r="213" spans="2:18" ht="15" customHeight="1" x14ac:dyDescent="0.25">
      <c r="B213" s="71"/>
      <c r="C213" s="71"/>
      <c r="D213" s="71"/>
      <c r="E213" s="71"/>
      <c r="F213" s="71"/>
      <c r="G213" s="71"/>
      <c r="H213" s="71"/>
      <c r="I213" s="72"/>
      <c r="J213" s="72"/>
      <c r="K213" s="72"/>
      <c r="L213" s="72"/>
      <c r="M213" s="72"/>
      <c r="N213" s="73" t="str">
        <f t="shared" si="12"/>
        <v/>
      </c>
      <c r="O213" s="43" t="str">
        <f t="shared" si="13"/>
        <v/>
      </c>
      <c r="P213" s="71"/>
      <c r="Q213" s="75" t="str">
        <f t="shared" si="14"/>
        <v/>
      </c>
      <c r="R213" s="43" t="str">
        <f t="shared" si="15"/>
        <v/>
      </c>
    </row>
    <row r="214" spans="2:18" ht="15" customHeight="1" x14ac:dyDescent="0.25">
      <c r="B214" s="71"/>
      <c r="C214" s="71"/>
      <c r="D214" s="71"/>
      <c r="E214" s="71"/>
      <c r="F214" s="71"/>
      <c r="G214" s="71"/>
      <c r="H214" s="71"/>
      <c r="I214" s="72"/>
      <c r="J214" s="72"/>
      <c r="K214" s="72"/>
      <c r="L214" s="72"/>
      <c r="M214" s="72"/>
      <c r="N214" s="73" t="str">
        <f t="shared" si="12"/>
        <v/>
      </c>
      <c r="O214" s="43" t="str">
        <f t="shared" si="13"/>
        <v/>
      </c>
      <c r="P214" s="71"/>
      <c r="Q214" s="75" t="str">
        <f t="shared" si="14"/>
        <v/>
      </c>
      <c r="R214" s="43" t="str">
        <f t="shared" si="15"/>
        <v/>
      </c>
    </row>
    <row r="215" spans="2:18" ht="15" customHeight="1" x14ac:dyDescent="0.25">
      <c r="B215" s="71"/>
      <c r="C215" s="71"/>
      <c r="D215" s="71"/>
      <c r="E215" s="71"/>
      <c r="F215" s="71"/>
      <c r="G215" s="71"/>
      <c r="H215" s="71"/>
      <c r="I215" s="72"/>
      <c r="J215" s="72"/>
      <c r="K215" s="72"/>
      <c r="L215" s="72"/>
      <c r="M215" s="72"/>
      <c r="N215" s="73" t="str">
        <f t="shared" si="12"/>
        <v/>
      </c>
      <c r="O215" s="43" t="str">
        <f t="shared" si="13"/>
        <v/>
      </c>
      <c r="P215" s="71"/>
      <c r="Q215" s="75" t="str">
        <f t="shared" si="14"/>
        <v/>
      </c>
      <c r="R215" s="43" t="str">
        <f t="shared" si="15"/>
        <v/>
      </c>
    </row>
    <row r="216" spans="2:18" ht="15" customHeight="1" x14ac:dyDescent="0.25">
      <c r="B216" s="71"/>
      <c r="C216" s="71"/>
      <c r="D216" s="71"/>
      <c r="E216" s="71"/>
      <c r="F216" s="71"/>
      <c r="G216" s="71"/>
      <c r="H216" s="71"/>
      <c r="I216" s="72"/>
      <c r="J216" s="72"/>
      <c r="K216" s="72"/>
      <c r="L216" s="72"/>
      <c r="M216" s="72"/>
      <c r="N216" s="73" t="str">
        <f t="shared" si="12"/>
        <v/>
      </c>
      <c r="O216" s="43" t="str">
        <f t="shared" si="13"/>
        <v/>
      </c>
      <c r="P216" s="71"/>
      <c r="Q216" s="75" t="str">
        <f t="shared" si="14"/>
        <v/>
      </c>
      <c r="R216" s="43" t="str">
        <f t="shared" si="15"/>
        <v/>
      </c>
    </row>
    <row r="217" spans="2:18" ht="15" customHeight="1" x14ac:dyDescent="0.25">
      <c r="B217" s="71"/>
      <c r="C217" s="71"/>
      <c r="D217" s="71"/>
      <c r="E217" s="71"/>
      <c r="F217" s="71"/>
      <c r="G217" s="71"/>
      <c r="H217" s="71"/>
      <c r="I217" s="72"/>
      <c r="J217" s="72"/>
      <c r="K217" s="72"/>
      <c r="L217" s="72"/>
      <c r="M217" s="72"/>
      <c r="N217" s="73" t="str">
        <f t="shared" si="12"/>
        <v/>
      </c>
      <c r="O217" s="43" t="str">
        <f t="shared" si="13"/>
        <v/>
      </c>
      <c r="P217" s="71"/>
      <c r="Q217" s="75" t="str">
        <f t="shared" si="14"/>
        <v/>
      </c>
      <c r="R217" s="43" t="str">
        <f t="shared" si="15"/>
        <v/>
      </c>
    </row>
    <row r="218" spans="2:18" ht="15" customHeight="1" x14ac:dyDescent="0.25">
      <c r="B218" s="71"/>
      <c r="C218" s="71"/>
      <c r="D218" s="71"/>
      <c r="E218" s="71"/>
      <c r="F218" s="71"/>
      <c r="G218" s="71"/>
      <c r="H218" s="71"/>
      <c r="I218" s="72"/>
      <c r="J218" s="72"/>
      <c r="K218" s="72"/>
      <c r="L218" s="72"/>
      <c r="M218" s="72"/>
      <c r="N218" s="73" t="str">
        <f t="shared" si="12"/>
        <v/>
      </c>
      <c r="O218" s="43" t="str">
        <f t="shared" si="13"/>
        <v/>
      </c>
      <c r="P218" s="71"/>
      <c r="Q218" s="75" t="str">
        <f t="shared" si="14"/>
        <v/>
      </c>
      <c r="R218" s="43" t="str">
        <f t="shared" si="15"/>
        <v/>
      </c>
    </row>
    <row r="219" spans="2:18" ht="15" customHeight="1" x14ac:dyDescent="0.25">
      <c r="B219" s="71"/>
      <c r="C219" s="71"/>
      <c r="D219" s="71"/>
      <c r="E219" s="71"/>
      <c r="F219" s="71"/>
      <c r="G219" s="71"/>
      <c r="H219" s="71"/>
      <c r="I219" s="72"/>
      <c r="J219" s="72"/>
      <c r="K219" s="72"/>
      <c r="L219" s="72"/>
      <c r="M219" s="72"/>
      <c r="N219" s="73" t="str">
        <f t="shared" si="12"/>
        <v/>
      </c>
      <c r="O219" s="43" t="str">
        <f t="shared" si="13"/>
        <v/>
      </c>
      <c r="P219" s="71"/>
      <c r="Q219" s="75" t="str">
        <f t="shared" si="14"/>
        <v/>
      </c>
      <c r="R219" s="43" t="str">
        <f t="shared" si="15"/>
        <v/>
      </c>
    </row>
    <row r="220" spans="2:18" ht="15" customHeight="1" x14ac:dyDescent="0.25">
      <c r="B220" s="71"/>
      <c r="C220" s="71"/>
      <c r="D220" s="71"/>
      <c r="E220" s="71"/>
      <c r="F220" s="71"/>
      <c r="G220" s="71"/>
      <c r="H220" s="71"/>
      <c r="I220" s="72"/>
      <c r="J220" s="72"/>
      <c r="K220" s="72"/>
      <c r="L220" s="72"/>
      <c r="M220" s="72"/>
      <c r="N220" s="73" t="str">
        <f t="shared" si="12"/>
        <v/>
      </c>
      <c r="O220" s="43" t="str">
        <f t="shared" si="13"/>
        <v/>
      </c>
      <c r="P220" s="71"/>
      <c r="Q220" s="75" t="str">
        <f t="shared" si="14"/>
        <v/>
      </c>
      <c r="R220" s="43" t="str">
        <f t="shared" si="15"/>
        <v/>
      </c>
    </row>
    <row r="221" spans="2:18" ht="15" customHeight="1" x14ac:dyDescent="0.25">
      <c r="B221" s="71"/>
      <c r="C221" s="71"/>
      <c r="D221" s="71"/>
      <c r="E221" s="71"/>
      <c r="F221" s="71"/>
      <c r="G221" s="71"/>
      <c r="H221" s="71"/>
      <c r="I221" s="72"/>
      <c r="J221" s="72"/>
      <c r="K221" s="72"/>
      <c r="L221" s="72"/>
      <c r="M221" s="72"/>
      <c r="N221" s="73" t="str">
        <f t="shared" si="12"/>
        <v/>
      </c>
      <c r="O221" s="43" t="str">
        <f t="shared" si="13"/>
        <v/>
      </c>
      <c r="P221" s="71"/>
      <c r="Q221" s="75" t="str">
        <f t="shared" si="14"/>
        <v/>
      </c>
      <c r="R221" s="43" t="str">
        <f t="shared" si="15"/>
        <v/>
      </c>
    </row>
    <row r="222" spans="2:18" ht="15" customHeight="1" x14ac:dyDescent="0.25">
      <c r="B222" s="71"/>
      <c r="C222" s="71"/>
      <c r="D222" s="71"/>
      <c r="E222" s="71"/>
      <c r="F222" s="71"/>
      <c r="G222" s="71"/>
      <c r="H222" s="71"/>
      <c r="I222" s="72"/>
      <c r="J222" s="72"/>
      <c r="K222" s="72"/>
      <c r="L222" s="72"/>
      <c r="M222" s="72"/>
      <c r="N222" s="73" t="str">
        <f t="shared" si="12"/>
        <v/>
      </c>
      <c r="O222" s="43" t="str">
        <f t="shared" si="13"/>
        <v/>
      </c>
      <c r="P222" s="71"/>
      <c r="Q222" s="75" t="str">
        <f t="shared" si="14"/>
        <v/>
      </c>
      <c r="R222" s="43" t="str">
        <f t="shared" si="15"/>
        <v/>
      </c>
    </row>
    <row r="223" spans="2:18" ht="15" customHeight="1" x14ac:dyDescent="0.25">
      <c r="B223" s="71"/>
      <c r="C223" s="71"/>
      <c r="D223" s="71"/>
      <c r="E223" s="71"/>
      <c r="F223" s="71"/>
      <c r="G223" s="71"/>
      <c r="H223" s="71"/>
      <c r="I223" s="72"/>
      <c r="J223" s="72"/>
      <c r="K223" s="72"/>
      <c r="L223" s="72"/>
      <c r="M223" s="72"/>
      <c r="N223" s="73" t="str">
        <f t="shared" si="12"/>
        <v/>
      </c>
      <c r="O223" s="43" t="str">
        <f t="shared" si="13"/>
        <v/>
      </c>
      <c r="P223" s="71"/>
      <c r="Q223" s="75" t="str">
        <f t="shared" si="14"/>
        <v/>
      </c>
      <c r="R223" s="43" t="str">
        <f t="shared" si="15"/>
        <v/>
      </c>
    </row>
    <row r="224" spans="2:18" ht="15" customHeight="1" x14ac:dyDescent="0.25">
      <c r="B224" s="71"/>
      <c r="C224" s="71"/>
      <c r="D224" s="71"/>
      <c r="E224" s="71"/>
      <c r="F224" s="71"/>
      <c r="G224" s="71"/>
      <c r="H224" s="71"/>
      <c r="I224" s="72"/>
      <c r="J224" s="72"/>
      <c r="K224" s="72"/>
      <c r="L224" s="72"/>
      <c r="M224" s="72"/>
      <c r="N224" s="73" t="str">
        <f t="shared" si="12"/>
        <v/>
      </c>
      <c r="O224" s="43" t="str">
        <f t="shared" si="13"/>
        <v/>
      </c>
      <c r="P224" s="71"/>
      <c r="Q224" s="75" t="str">
        <f t="shared" si="14"/>
        <v/>
      </c>
      <c r="R224" s="43" t="str">
        <f t="shared" si="15"/>
        <v/>
      </c>
    </row>
    <row r="225" spans="2:18" ht="15" customHeight="1" x14ac:dyDescent="0.25">
      <c r="B225" s="71"/>
      <c r="C225" s="71"/>
      <c r="D225" s="71"/>
      <c r="E225" s="71"/>
      <c r="F225" s="71"/>
      <c r="G225" s="71"/>
      <c r="H225" s="71"/>
      <c r="I225" s="72"/>
      <c r="J225" s="72"/>
      <c r="K225" s="72"/>
      <c r="L225" s="72"/>
      <c r="M225" s="72"/>
      <c r="N225" s="73" t="str">
        <f t="shared" si="12"/>
        <v/>
      </c>
      <c r="O225" s="43" t="str">
        <f t="shared" si="13"/>
        <v/>
      </c>
      <c r="P225" s="71"/>
      <c r="Q225" s="75" t="str">
        <f t="shared" si="14"/>
        <v/>
      </c>
      <c r="R225" s="43" t="str">
        <f t="shared" si="15"/>
        <v/>
      </c>
    </row>
    <row r="226" spans="2:18" ht="15" customHeight="1" x14ac:dyDescent="0.25">
      <c r="B226" s="71"/>
      <c r="C226" s="71"/>
      <c r="D226" s="71"/>
      <c r="E226" s="71"/>
      <c r="F226" s="71"/>
      <c r="G226" s="71"/>
      <c r="H226" s="71"/>
      <c r="I226" s="72"/>
      <c r="J226" s="72"/>
      <c r="K226" s="72"/>
      <c r="L226" s="72"/>
      <c r="M226" s="72"/>
      <c r="N226" s="73" t="str">
        <f t="shared" si="12"/>
        <v/>
      </c>
      <c r="O226" s="43" t="str">
        <f t="shared" si="13"/>
        <v/>
      </c>
      <c r="P226" s="71"/>
      <c r="Q226" s="75" t="str">
        <f t="shared" si="14"/>
        <v/>
      </c>
      <c r="R226" s="43" t="str">
        <f t="shared" si="15"/>
        <v/>
      </c>
    </row>
    <row r="227" spans="2:18" ht="15" customHeight="1" x14ac:dyDescent="0.25">
      <c r="B227" s="71"/>
      <c r="C227" s="71"/>
      <c r="D227" s="71"/>
      <c r="E227" s="71"/>
      <c r="F227" s="71"/>
      <c r="G227" s="71"/>
      <c r="H227" s="71"/>
      <c r="I227" s="72"/>
      <c r="J227" s="72"/>
      <c r="K227" s="72"/>
      <c r="L227" s="72"/>
      <c r="M227" s="72"/>
      <c r="N227" s="73" t="str">
        <f t="shared" si="12"/>
        <v/>
      </c>
      <c r="O227" s="43" t="str">
        <f t="shared" si="13"/>
        <v/>
      </c>
      <c r="P227" s="71"/>
      <c r="Q227" s="75" t="str">
        <f t="shared" si="14"/>
        <v/>
      </c>
      <c r="R227" s="43" t="str">
        <f t="shared" si="15"/>
        <v/>
      </c>
    </row>
    <row r="228" spans="2:18" ht="15" customHeight="1" x14ac:dyDescent="0.25">
      <c r="B228" s="71"/>
      <c r="C228" s="71"/>
      <c r="D228" s="71"/>
      <c r="E228" s="71"/>
      <c r="F228" s="71"/>
      <c r="G228" s="71"/>
      <c r="H228" s="71"/>
      <c r="I228" s="72"/>
      <c r="J228" s="72"/>
      <c r="K228" s="72"/>
      <c r="L228" s="72"/>
      <c r="M228" s="72"/>
      <c r="N228" s="73" t="str">
        <f t="shared" si="12"/>
        <v/>
      </c>
      <c r="O228" s="43" t="str">
        <f t="shared" si="13"/>
        <v/>
      </c>
      <c r="P228" s="71"/>
      <c r="Q228" s="75" t="str">
        <f t="shared" si="14"/>
        <v/>
      </c>
      <c r="R228" s="43" t="str">
        <f t="shared" si="15"/>
        <v/>
      </c>
    </row>
    <row r="229" spans="2:18" ht="15" customHeight="1" x14ac:dyDescent="0.25">
      <c r="B229" s="71"/>
      <c r="C229" s="71"/>
      <c r="D229" s="71"/>
      <c r="E229" s="71"/>
      <c r="F229" s="71"/>
      <c r="G229" s="71"/>
      <c r="H229" s="71"/>
      <c r="I229" s="72"/>
      <c r="J229" s="72"/>
      <c r="K229" s="72"/>
      <c r="L229" s="72"/>
      <c r="M229" s="72"/>
      <c r="N229" s="73" t="str">
        <f t="shared" si="12"/>
        <v/>
      </c>
      <c r="O229" s="43" t="str">
        <f t="shared" si="13"/>
        <v/>
      </c>
      <c r="P229" s="71"/>
      <c r="Q229" s="75" t="str">
        <f t="shared" si="14"/>
        <v/>
      </c>
      <c r="R229" s="43" t="str">
        <f t="shared" si="15"/>
        <v/>
      </c>
    </row>
    <row r="230" spans="2:18" ht="15" customHeight="1" x14ac:dyDescent="0.25">
      <c r="B230" s="71"/>
      <c r="C230" s="71"/>
      <c r="D230" s="71"/>
      <c r="E230" s="71"/>
      <c r="F230" s="71"/>
      <c r="G230" s="71"/>
      <c r="H230" s="71"/>
      <c r="I230" s="72"/>
      <c r="J230" s="72"/>
      <c r="K230" s="72"/>
      <c r="L230" s="72"/>
      <c r="M230" s="72"/>
      <c r="N230" s="73" t="str">
        <f t="shared" si="12"/>
        <v/>
      </c>
      <c r="O230" s="43" t="str">
        <f t="shared" si="13"/>
        <v/>
      </c>
      <c r="P230" s="71"/>
      <c r="Q230" s="75" t="str">
        <f t="shared" si="14"/>
        <v/>
      </c>
      <c r="R230" s="43" t="str">
        <f t="shared" si="15"/>
        <v/>
      </c>
    </row>
    <row r="231" spans="2:18" ht="15" customHeight="1" x14ac:dyDescent="0.25">
      <c r="B231" s="71"/>
      <c r="C231" s="71"/>
      <c r="D231" s="71"/>
      <c r="E231" s="71"/>
      <c r="F231" s="71"/>
      <c r="G231" s="71"/>
      <c r="H231" s="71"/>
      <c r="I231" s="72"/>
      <c r="J231" s="72"/>
      <c r="K231" s="72"/>
      <c r="L231" s="72"/>
      <c r="M231" s="72"/>
      <c r="N231" s="73" t="str">
        <f t="shared" si="12"/>
        <v/>
      </c>
      <c r="O231" s="43" t="str">
        <f t="shared" si="13"/>
        <v/>
      </c>
      <c r="P231" s="71"/>
      <c r="Q231" s="75" t="str">
        <f t="shared" si="14"/>
        <v/>
      </c>
      <c r="R231" s="43" t="str">
        <f t="shared" si="15"/>
        <v/>
      </c>
    </row>
    <row r="232" spans="2:18" ht="15" customHeight="1" x14ac:dyDescent="0.25">
      <c r="B232" s="71"/>
      <c r="C232" s="71"/>
      <c r="D232" s="71"/>
      <c r="E232" s="71"/>
      <c r="F232" s="71"/>
      <c r="G232" s="71"/>
      <c r="H232" s="71"/>
      <c r="I232" s="72"/>
      <c r="J232" s="72"/>
      <c r="K232" s="72"/>
      <c r="L232" s="72"/>
      <c r="M232" s="72"/>
      <c r="N232" s="73" t="str">
        <f t="shared" si="12"/>
        <v/>
      </c>
      <c r="O232" s="43" t="str">
        <f t="shared" si="13"/>
        <v/>
      </c>
      <c r="P232" s="71"/>
      <c r="Q232" s="75" t="str">
        <f t="shared" si="14"/>
        <v/>
      </c>
      <c r="R232" s="43" t="str">
        <f t="shared" si="15"/>
        <v/>
      </c>
    </row>
    <row r="233" spans="2:18" ht="15" customHeight="1" x14ac:dyDescent="0.25">
      <c r="B233" s="71"/>
      <c r="C233" s="71"/>
      <c r="D233" s="71"/>
      <c r="E233" s="71"/>
      <c r="F233" s="71"/>
      <c r="G233" s="71"/>
      <c r="H233" s="71"/>
      <c r="I233" s="72"/>
      <c r="J233" s="72"/>
      <c r="K233" s="72"/>
      <c r="L233" s="72"/>
      <c r="M233" s="72"/>
      <c r="N233" s="73" t="str">
        <f t="shared" si="12"/>
        <v/>
      </c>
      <c r="O233" s="43" t="str">
        <f t="shared" si="13"/>
        <v/>
      </c>
      <c r="P233" s="71"/>
      <c r="Q233" s="75" t="str">
        <f t="shared" si="14"/>
        <v/>
      </c>
      <c r="R233" s="43" t="str">
        <f t="shared" si="15"/>
        <v/>
      </c>
    </row>
    <row r="234" spans="2:18" ht="15" customHeight="1" x14ac:dyDescent="0.25">
      <c r="B234" s="71"/>
      <c r="C234" s="71"/>
      <c r="D234" s="71"/>
      <c r="E234" s="71"/>
      <c r="F234" s="71"/>
      <c r="G234" s="71"/>
      <c r="H234" s="71"/>
      <c r="I234" s="72"/>
      <c r="J234" s="72"/>
      <c r="K234" s="72"/>
      <c r="L234" s="72"/>
      <c r="M234" s="72"/>
      <c r="N234" s="73" t="str">
        <f t="shared" si="12"/>
        <v/>
      </c>
      <c r="O234" s="43" t="str">
        <f t="shared" si="13"/>
        <v/>
      </c>
      <c r="P234" s="71"/>
      <c r="Q234" s="75" t="str">
        <f t="shared" si="14"/>
        <v/>
      </c>
      <c r="R234" s="43" t="str">
        <f t="shared" si="15"/>
        <v/>
      </c>
    </row>
    <row r="235" spans="2:18" ht="15" customHeight="1" x14ac:dyDescent="0.25">
      <c r="B235" s="71"/>
      <c r="C235" s="71"/>
      <c r="D235" s="71"/>
      <c r="E235" s="71"/>
      <c r="F235" s="71"/>
      <c r="G235" s="71"/>
      <c r="H235" s="71"/>
      <c r="I235" s="72"/>
      <c r="J235" s="72"/>
      <c r="K235" s="72"/>
      <c r="L235" s="72"/>
      <c r="M235" s="72"/>
      <c r="N235" s="73" t="str">
        <f t="shared" si="12"/>
        <v/>
      </c>
      <c r="O235" s="43" t="str">
        <f t="shared" si="13"/>
        <v/>
      </c>
      <c r="P235" s="71"/>
      <c r="Q235" s="75" t="str">
        <f t="shared" si="14"/>
        <v/>
      </c>
      <c r="R235" s="43" t="str">
        <f t="shared" si="15"/>
        <v/>
      </c>
    </row>
    <row r="236" spans="2:18" ht="15" customHeight="1" x14ac:dyDescent="0.25">
      <c r="B236" s="71"/>
      <c r="C236" s="71"/>
      <c r="D236" s="71"/>
      <c r="E236" s="71"/>
      <c r="F236" s="71"/>
      <c r="G236" s="71"/>
      <c r="H236" s="71"/>
      <c r="I236" s="72"/>
      <c r="J236" s="72"/>
      <c r="K236" s="72"/>
      <c r="L236" s="72"/>
      <c r="M236" s="72"/>
      <c r="N236" s="73" t="str">
        <f t="shared" si="12"/>
        <v/>
      </c>
      <c r="O236" s="43" t="str">
        <f t="shared" si="13"/>
        <v/>
      </c>
      <c r="P236" s="71"/>
      <c r="Q236" s="75" t="str">
        <f t="shared" si="14"/>
        <v/>
      </c>
      <c r="R236" s="43" t="str">
        <f t="shared" si="15"/>
        <v/>
      </c>
    </row>
    <row r="237" spans="2:18" ht="15" customHeight="1" x14ac:dyDescent="0.25">
      <c r="B237" s="71"/>
      <c r="C237" s="71"/>
      <c r="D237" s="71"/>
      <c r="E237" s="71"/>
      <c r="F237" s="71"/>
      <c r="G237" s="71"/>
      <c r="H237" s="71"/>
      <c r="I237" s="72"/>
      <c r="J237" s="72"/>
      <c r="K237" s="72"/>
      <c r="L237" s="72"/>
      <c r="M237" s="72"/>
      <c r="N237" s="73" t="str">
        <f t="shared" si="12"/>
        <v/>
      </c>
      <c r="O237" s="43" t="str">
        <f t="shared" si="13"/>
        <v/>
      </c>
      <c r="P237" s="71"/>
      <c r="Q237" s="75" t="str">
        <f t="shared" si="14"/>
        <v/>
      </c>
      <c r="R237" s="43" t="str">
        <f t="shared" si="15"/>
        <v/>
      </c>
    </row>
    <row r="238" spans="2:18" ht="15" customHeight="1" x14ac:dyDescent="0.25">
      <c r="B238" s="71"/>
      <c r="C238" s="71"/>
      <c r="D238" s="71"/>
      <c r="E238" s="71"/>
      <c r="F238" s="71"/>
      <c r="G238" s="71"/>
      <c r="H238" s="71"/>
      <c r="I238" s="72"/>
      <c r="J238" s="72"/>
      <c r="K238" s="72"/>
      <c r="L238" s="72"/>
      <c r="M238" s="72"/>
      <c r="N238" s="73" t="str">
        <f t="shared" si="12"/>
        <v/>
      </c>
      <c r="O238" s="43" t="str">
        <f t="shared" si="13"/>
        <v/>
      </c>
      <c r="P238" s="71"/>
      <c r="Q238" s="75" t="str">
        <f t="shared" si="14"/>
        <v/>
      </c>
      <c r="R238" s="43" t="str">
        <f t="shared" si="15"/>
        <v/>
      </c>
    </row>
    <row r="239" spans="2:18" ht="15" customHeight="1" x14ac:dyDescent="0.25">
      <c r="B239" s="71"/>
      <c r="C239" s="71"/>
      <c r="D239" s="71"/>
      <c r="E239" s="71"/>
      <c r="F239" s="71"/>
      <c r="G239" s="71"/>
      <c r="H239" s="71"/>
      <c r="I239" s="72"/>
      <c r="J239" s="72"/>
      <c r="K239" s="72"/>
      <c r="L239" s="72"/>
      <c r="M239" s="72"/>
      <c r="N239" s="73" t="str">
        <f t="shared" si="12"/>
        <v/>
      </c>
      <c r="O239" s="43" t="str">
        <f t="shared" si="13"/>
        <v/>
      </c>
      <c r="P239" s="71"/>
      <c r="Q239" s="75" t="str">
        <f t="shared" si="14"/>
        <v/>
      </c>
      <c r="R239" s="43" t="str">
        <f t="shared" si="15"/>
        <v/>
      </c>
    </row>
    <row r="240" spans="2:18" ht="15" customHeight="1" x14ac:dyDescent="0.25">
      <c r="B240" s="71"/>
      <c r="C240" s="71"/>
      <c r="D240" s="71"/>
      <c r="E240" s="71"/>
      <c r="F240" s="71"/>
      <c r="G240" s="71"/>
      <c r="H240" s="71"/>
      <c r="I240" s="72"/>
      <c r="J240" s="72"/>
      <c r="K240" s="72"/>
      <c r="L240" s="72"/>
      <c r="M240" s="72"/>
      <c r="N240" s="73" t="str">
        <f t="shared" si="12"/>
        <v/>
      </c>
      <c r="O240" s="43" t="str">
        <f t="shared" si="13"/>
        <v/>
      </c>
      <c r="P240" s="71"/>
      <c r="Q240" s="75" t="str">
        <f t="shared" si="14"/>
        <v/>
      </c>
      <c r="R240" s="43" t="str">
        <f t="shared" si="15"/>
        <v/>
      </c>
    </row>
    <row r="241" spans="2:18" ht="15" customHeight="1" x14ac:dyDescent="0.25">
      <c r="B241" s="71"/>
      <c r="C241" s="71"/>
      <c r="D241" s="71"/>
      <c r="E241" s="71"/>
      <c r="F241" s="71"/>
      <c r="G241" s="71"/>
      <c r="H241" s="71"/>
      <c r="I241" s="72"/>
      <c r="J241" s="72"/>
      <c r="K241" s="72"/>
      <c r="L241" s="72"/>
      <c r="M241" s="72"/>
      <c r="N241" s="73" t="str">
        <f t="shared" si="12"/>
        <v/>
      </c>
      <c r="O241" s="43" t="str">
        <f t="shared" si="13"/>
        <v/>
      </c>
      <c r="P241" s="71"/>
      <c r="Q241" s="75" t="str">
        <f t="shared" si="14"/>
        <v/>
      </c>
      <c r="R241" s="43" t="str">
        <f t="shared" si="15"/>
        <v/>
      </c>
    </row>
    <row r="242" spans="2:18" ht="15" customHeight="1" x14ac:dyDescent="0.25">
      <c r="B242" s="71"/>
      <c r="C242" s="71"/>
      <c r="D242" s="71"/>
      <c r="E242" s="71"/>
      <c r="F242" s="71"/>
      <c r="G242" s="71"/>
      <c r="H242" s="71"/>
      <c r="I242" s="72"/>
      <c r="J242" s="72"/>
      <c r="K242" s="72"/>
      <c r="L242" s="72"/>
      <c r="M242" s="72"/>
      <c r="N242" s="73" t="str">
        <f t="shared" si="12"/>
        <v/>
      </c>
      <c r="O242" s="43" t="str">
        <f t="shared" si="13"/>
        <v/>
      </c>
      <c r="P242" s="71"/>
      <c r="Q242" s="75" t="str">
        <f t="shared" si="14"/>
        <v/>
      </c>
      <c r="R242" s="43" t="str">
        <f t="shared" si="15"/>
        <v/>
      </c>
    </row>
    <row r="243" spans="2:18" ht="15" customHeight="1" x14ac:dyDescent="0.25">
      <c r="B243" s="71"/>
      <c r="C243" s="71"/>
      <c r="D243" s="71"/>
      <c r="E243" s="71"/>
      <c r="F243" s="71"/>
      <c r="G243" s="71"/>
      <c r="H243" s="71"/>
      <c r="I243" s="72"/>
      <c r="J243" s="72"/>
      <c r="K243" s="72"/>
      <c r="L243" s="72"/>
      <c r="M243" s="72"/>
      <c r="N243" s="73" t="str">
        <f t="shared" si="12"/>
        <v/>
      </c>
      <c r="O243" s="43" t="str">
        <f t="shared" si="13"/>
        <v/>
      </c>
      <c r="P243" s="71"/>
      <c r="Q243" s="75" t="str">
        <f t="shared" si="14"/>
        <v/>
      </c>
      <c r="R243" s="43" t="str">
        <f t="shared" si="15"/>
        <v/>
      </c>
    </row>
    <row r="244" spans="2:18" ht="15" customHeight="1" x14ac:dyDescent="0.25">
      <c r="B244" s="71"/>
      <c r="C244" s="71"/>
      <c r="D244" s="71"/>
      <c r="E244" s="71"/>
      <c r="F244" s="71"/>
      <c r="G244" s="71"/>
      <c r="H244" s="71"/>
      <c r="I244" s="72"/>
      <c r="J244" s="72"/>
      <c r="K244" s="72"/>
      <c r="L244" s="72"/>
      <c r="M244" s="72"/>
      <c r="N244" s="73" t="str">
        <f t="shared" si="12"/>
        <v/>
      </c>
      <c r="O244" s="43" t="str">
        <f t="shared" si="13"/>
        <v/>
      </c>
      <c r="P244" s="71"/>
      <c r="Q244" s="75" t="str">
        <f t="shared" si="14"/>
        <v/>
      </c>
      <c r="R244" s="43" t="str">
        <f t="shared" si="15"/>
        <v/>
      </c>
    </row>
    <row r="245" spans="2:18" ht="15" customHeight="1" x14ac:dyDescent="0.25">
      <c r="B245" s="71"/>
      <c r="C245" s="71"/>
      <c r="D245" s="71"/>
      <c r="E245" s="71"/>
      <c r="F245" s="71"/>
      <c r="G245" s="71"/>
      <c r="H245" s="71"/>
      <c r="I245" s="72"/>
      <c r="J245" s="72"/>
      <c r="K245" s="72"/>
      <c r="L245" s="72"/>
      <c r="M245" s="72"/>
      <c r="N245" s="73" t="str">
        <f t="shared" si="12"/>
        <v/>
      </c>
      <c r="O245" s="43" t="str">
        <f t="shared" si="13"/>
        <v/>
      </c>
      <c r="P245" s="71"/>
      <c r="Q245" s="75" t="str">
        <f t="shared" si="14"/>
        <v/>
      </c>
      <c r="R245" s="43" t="str">
        <f t="shared" si="15"/>
        <v/>
      </c>
    </row>
    <row r="246" spans="2:18" ht="15" customHeight="1" x14ac:dyDescent="0.25">
      <c r="B246" s="71"/>
      <c r="C246" s="71"/>
      <c r="D246" s="71"/>
      <c r="E246" s="71"/>
      <c r="F246" s="71"/>
      <c r="G246" s="71"/>
      <c r="H246" s="71"/>
      <c r="I246" s="72"/>
      <c r="J246" s="72"/>
      <c r="K246" s="72"/>
      <c r="L246" s="72"/>
      <c r="M246" s="72"/>
      <c r="N246" s="73" t="str">
        <f t="shared" si="12"/>
        <v/>
      </c>
      <c r="O246" s="43" t="str">
        <f t="shared" si="13"/>
        <v/>
      </c>
      <c r="P246" s="71"/>
      <c r="Q246" s="75" t="str">
        <f t="shared" si="14"/>
        <v/>
      </c>
      <c r="R246" s="43" t="str">
        <f t="shared" si="15"/>
        <v/>
      </c>
    </row>
    <row r="247" spans="2:18" ht="15" customHeight="1" x14ac:dyDescent="0.25">
      <c r="B247" s="71"/>
      <c r="C247" s="71"/>
      <c r="D247" s="71"/>
      <c r="E247" s="71"/>
      <c r="F247" s="71"/>
      <c r="G247" s="71"/>
      <c r="H247" s="71"/>
      <c r="I247" s="72"/>
      <c r="J247" s="72"/>
      <c r="K247" s="72"/>
      <c r="L247" s="72"/>
      <c r="M247" s="72"/>
      <c r="N247" s="73" t="str">
        <f t="shared" si="12"/>
        <v/>
      </c>
      <c r="O247" s="43" t="str">
        <f t="shared" si="13"/>
        <v/>
      </c>
      <c r="P247" s="71"/>
      <c r="Q247" s="75" t="str">
        <f t="shared" si="14"/>
        <v/>
      </c>
      <c r="R247" s="43" t="str">
        <f t="shared" si="15"/>
        <v/>
      </c>
    </row>
    <row r="248" spans="2:18" ht="15" customHeight="1" x14ac:dyDescent="0.25">
      <c r="B248" s="71"/>
      <c r="C248" s="71"/>
      <c r="D248" s="71"/>
      <c r="E248" s="71"/>
      <c r="F248" s="71"/>
      <c r="G248" s="71"/>
      <c r="H248" s="71"/>
      <c r="I248" s="72"/>
      <c r="J248" s="72"/>
      <c r="K248" s="72"/>
      <c r="L248" s="72"/>
      <c r="M248" s="72"/>
      <c r="N248" s="73" t="str">
        <f t="shared" si="12"/>
        <v/>
      </c>
      <c r="O248" s="43" t="str">
        <f t="shared" si="13"/>
        <v/>
      </c>
      <c r="P248" s="71"/>
      <c r="Q248" s="75" t="str">
        <f t="shared" si="14"/>
        <v/>
      </c>
      <c r="R248" s="43" t="str">
        <f t="shared" si="15"/>
        <v/>
      </c>
    </row>
    <row r="249" spans="2:18" ht="15" customHeight="1" x14ac:dyDescent="0.25">
      <c r="B249" s="71"/>
      <c r="C249" s="71"/>
      <c r="D249" s="71"/>
      <c r="E249" s="71"/>
      <c r="F249" s="71"/>
      <c r="G249" s="71"/>
      <c r="H249" s="71"/>
      <c r="I249" s="72"/>
      <c r="J249" s="72"/>
      <c r="K249" s="72"/>
      <c r="L249" s="72"/>
      <c r="M249" s="72"/>
      <c r="N249" s="73" t="str">
        <f t="shared" si="12"/>
        <v/>
      </c>
      <c r="O249" s="43" t="str">
        <f t="shared" si="13"/>
        <v/>
      </c>
      <c r="P249" s="71"/>
      <c r="Q249" s="75" t="str">
        <f t="shared" si="14"/>
        <v/>
      </c>
      <c r="R249" s="43" t="str">
        <f t="shared" si="15"/>
        <v/>
      </c>
    </row>
    <row r="250" spans="2:18" ht="15" customHeight="1" x14ac:dyDescent="0.25">
      <c r="B250" s="71"/>
      <c r="C250" s="71"/>
      <c r="D250" s="71"/>
      <c r="E250" s="71"/>
      <c r="F250" s="71"/>
      <c r="G250" s="71"/>
      <c r="H250" s="71"/>
      <c r="I250" s="72"/>
      <c r="J250" s="72"/>
      <c r="K250" s="72"/>
      <c r="L250" s="72"/>
      <c r="M250" s="72"/>
      <c r="N250" s="73" t="str">
        <f t="shared" si="12"/>
        <v/>
      </c>
      <c r="O250" s="43" t="str">
        <f t="shared" si="13"/>
        <v/>
      </c>
      <c r="P250" s="71"/>
      <c r="Q250" s="75" t="str">
        <f t="shared" si="14"/>
        <v/>
      </c>
      <c r="R250" s="43" t="str">
        <f t="shared" si="15"/>
        <v/>
      </c>
    </row>
    <row r="251" spans="2:18" ht="15" customHeight="1" x14ac:dyDescent="0.25">
      <c r="B251" s="71"/>
      <c r="C251" s="71"/>
      <c r="D251" s="71"/>
      <c r="E251" s="71"/>
      <c r="F251" s="71"/>
      <c r="G251" s="71"/>
      <c r="H251" s="71"/>
      <c r="I251" s="72"/>
      <c r="J251" s="72"/>
      <c r="K251" s="72"/>
      <c r="L251" s="72"/>
      <c r="M251" s="72"/>
      <c r="N251" s="73" t="str">
        <f t="shared" si="12"/>
        <v/>
      </c>
      <c r="O251" s="43" t="str">
        <f t="shared" si="13"/>
        <v/>
      </c>
      <c r="P251" s="71"/>
      <c r="Q251" s="75" t="str">
        <f t="shared" si="14"/>
        <v/>
      </c>
      <c r="R251" s="43" t="str">
        <f t="shared" si="15"/>
        <v/>
      </c>
    </row>
    <row r="252" spans="2:18" ht="15" customHeight="1" x14ac:dyDescent="0.25">
      <c r="B252" s="71"/>
      <c r="C252" s="71"/>
      <c r="D252" s="71"/>
      <c r="E252" s="71"/>
      <c r="F252" s="71"/>
      <c r="G252" s="71"/>
      <c r="H252" s="71"/>
      <c r="I252" s="72"/>
      <c r="J252" s="72"/>
      <c r="K252" s="72"/>
      <c r="L252" s="72"/>
      <c r="M252" s="72"/>
      <c r="N252" s="73" t="str">
        <f t="shared" si="12"/>
        <v/>
      </c>
      <c r="O252" s="43" t="str">
        <f t="shared" si="13"/>
        <v/>
      </c>
      <c r="P252" s="71"/>
      <c r="Q252" s="75" t="str">
        <f t="shared" si="14"/>
        <v/>
      </c>
      <c r="R252" s="43" t="str">
        <f t="shared" si="15"/>
        <v/>
      </c>
    </row>
    <row r="253" spans="2:18" ht="15" customHeight="1" x14ac:dyDescent="0.25">
      <c r="B253" s="71"/>
      <c r="C253" s="71"/>
      <c r="D253" s="71"/>
      <c r="E253" s="71"/>
      <c r="F253" s="71"/>
      <c r="G253" s="71"/>
      <c r="H253" s="71"/>
      <c r="I253" s="72"/>
      <c r="J253" s="72"/>
      <c r="K253" s="72"/>
      <c r="L253" s="72"/>
      <c r="M253" s="72"/>
      <c r="N253" s="73" t="str">
        <f t="shared" si="12"/>
        <v/>
      </c>
      <c r="O253" s="43" t="str">
        <f t="shared" si="13"/>
        <v/>
      </c>
      <c r="P253" s="71"/>
      <c r="Q253" s="75" t="str">
        <f t="shared" si="14"/>
        <v/>
      </c>
      <c r="R253" s="43" t="str">
        <f t="shared" si="15"/>
        <v/>
      </c>
    </row>
    <row r="254" spans="2:18" ht="15" customHeight="1" x14ac:dyDescent="0.25">
      <c r="B254" s="71"/>
      <c r="C254" s="71"/>
      <c r="D254" s="71"/>
      <c r="E254" s="71"/>
      <c r="F254" s="71"/>
      <c r="G254" s="71"/>
      <c r="H254" s="71"/>
      <c r="I254" s="72"/>
      <c r="J254" s="72"/>
      <c r="K254" s="72"/>
      <c r="L254" s="72"/>
      <c r="M254" s="72"/>
      <c r="N254" s="73" t="str">
        <f t="shared" si="12"/>
        <v/>
      </c>
      <c r="O254" s="43" t="str">
        <f t="shared" si="13"/>
        <v/>
      </c>
      <c r="P254" s="71"/>
      <c r="Q254" s="75" t="str">
        <f t="shared" si="14"/>
        <v/>
      </c>
      <c r="R254" s="43" t="str">
        <f t="shared" si="15"/>
        <v/>
      </c>
    </row>
    <row r="255" spans="2:18" ht="15" customHeight="1" x14ac:dyDescent="0.25">
      <c r="B255" s="71"/>
      <c r="C255" s="71"/>
      <c r="D255" s="71"/>
      <c r="E255" s="71"/>
      <c r="F255" s="71"/>
      <c r="G255" s="71"/>
      <c r="H255" s="71"/>
      <c r="I255" s="72"/>
      <c r="J255" s="72"/>
      <c r="K255" s="72"/>
      <c r="L255" s="72"/>
      <c r="M255" s="72"/>
      <c r="N255" s="73" t="str">
        <f t="shared" si="12"/>
        <v/>
      </c>
      <c r="O255" s="43" t="str">
        <f t="shared" si="13"/>
        <v/>
      </c>
      <c r="P255" s="71"/>
      <c r="Q255" s="75" t="str">
        <f t="shared" si="14"/>
        <v/>
      </c>
      <c r="R255" s="43" t="str">
        <f t="shared" si="15"/>
        <v/>
      </c>
    </row>
    <row r="256" spans="2:18" ht="15" customHeight="1" x14ac:dyDescent="0.25">
      <c r="B256" s="71"/>
      <c r="C256" s="71"/>
      <c r="D256" s="71"/>
      <c r="E256" s="71"/>
      <c r="F256" s="71"/>
      <c r="G256" s="71"/>
      <c r="H256" s="71"/>
      <c r="I256" s="72"/>
      <c r="J256" s="72"/>
      <c r="K256" s="72"/>
      <c r="L256" s="72"/>
      <c r="M256" s="72"/>
      <c r="N256" s="73" t="str">
        <f t="shared" si="12"/>
        <v/>
      </c>
      <c r="O256" s="43" t="str">
        <f t="shared" si="13"/>
        <v/>
      </c>
      <c r="P256" s="71"/>
      <c r="Q256" s="75" t="str">
        <f t="shared" si="14"/>
        <v/>
      </c>
      <c r="R256" s="43" t="str">
        <f t="shared" si="15"/>
        <v/>
      </c>
    </row>
    <row r="257" spans="2:18" ht="15" customHeight="1" x14ac:dyDescent="0.25">
      <c r="B257" s="71"/>
      <c r="C257" s="71"/>
      <c r="D257" s="71"/>
      <c r="E257" s="71"/>
      <c r="F257" s="71"/>
      <c r="G257" s="71"/>
      <c r="H257" s="71"/>
      <c r="I257" s="72"/>
      <c r="J257" s="72"/>
      <c r="K257" s="72"/>
      <c r="L257" s="72"/>
      <c r="M257" s="72"/>
      <c r="N257" s="73" t="str">
        <f t="shared" si="12"/>
        <v/>
      </c>
      <c r="O257" s="43" t="str">
        <f t="shared" si="13"/>
        <v/>
      </c>
      <c r="P257" s="71"/>
      <c r="Q257" s="75" t="str">
        <f t="shared" si="14"/>
        <v/>
      </c>
      <c r="R257" s="43" t="str">
        <f t="shared" si="15"/>
        <v/>
      </c>
    </row>
    <row r="258" spans="2:18" ht="15" customHeight="1" x14ac:dyDescent="0.25">
      <c r="B258" s="71"/>
      <c r="C258" s="71"/>
      <c r="D258" s="71"/>
      <c r="E258" s="71"/>
      <c r="F258" s="71"/>
      <c r="G258" s="71"/>
      <c r="H258" s="71"/>
      <c r="I258" s="72"/>
      <c r="J258" s="72"/>
      <c r="K258" s="72"/>
      <c r="L258" s="72"/>
      <c r="M258" s="72"/>
      <c r="N258" s="73" t="str">
        <f t="shared" si="12"/>
        <v/>
      </c>
      <c r="O258" s="43" t="str">
        <f t="shared" si="13"/>
        <v/>
      </c>
      <c r="P258" s="71"/>
      <c r="Q258" s="75" t="str">
        <f t="shared" si="14"/>
        <v/>
      </c>
      <c r="R258" s="43" t="str">
        <f t="shared" si="15"/>
        <v/>
      </c>
    </row>
    <row r="259" spans="2:18" ht="15" customHeight="1" x14ac:dyDescent="0.25">
      <c r="B259" s="71"/>
      <c r="C259" s="71"/>
      <c r="D259" s="71"/>
      <c r="E259" s="71"/>
      <c r="F259" s="71"/>
      <c r="G259" s="71"/>
      <c r="H259" s="71"/>
      <c r="I259" s="72"/>
      <c r="J259" s="72"/>
      <c r="K259" s="72"/>
      <c r="L259" s="72"/>
      <c r="M259" s="72"/>
      <c r="N259" s="73" t="str">
        <f t="shared" si="12"/>
        <v/>
      </c>
      <c r="O259" s="43" t="str">
        <f t="shared" si="13"/>
        <v/>
      </c>
      <c r="P259" s="71"/>
      <c r="Q259" s="75" t="str">
        <f t="shared" si="14"/>
        <v/>
      </c>
      <c r="R259" s="43" t="str">
        <f t="shared" si="15"/>
        <v/>
      </c>
    </row>
    <row r="260" spans="2:18" ht="15" customHeight="1" x14ac:dyDescent="0.25">
      <c r="B260" s="71"/>
      <c r="C260" s="71"/>
      <c r="D260" s="71"/>
      <c r="E260" s="71"/>
      <c r="F260" s="71"/>
      <c r="G260" s="71"/>
      <c r="H260" s="71"/>
      <c r="I260" s="72"/>
      <c r="J260" s="72"/>
      <c r="K260" s="72"/>
      <c r="L260" s="72"/>
      <c r="M260" s="72"/>
      <c r="N260" s="73" t="str">
        <f t="shared" si="12"/>
        <v/>
      </c>
      <c r="O260" s="43" t="str">
        <f t="shared" si="13"/>
        <v/>
      </c>
      <c r="P260" s="71"/>
      <c r="Q260" s="75" t="str">
        <f t="shared" si="14"/>
        <v/>
      </c>
      <c r="R260" s="43" t="str">
        <f t="shared" si="15"/>
        <v/>
      </c>
    </row>
    <row r="261" spans="2:18" ht="15" customHeight="1" x14ac:dyDescent="0.25">
      <c r="B261" s="71"/>
      <c r="C261" s="71"/>
      <c r="D261" s="71"/>
      <c r="E261" s="71"/>
      <c r="F261" s="71"/>
      <c r="G261" s="71"/>
      <c r="H261" s="71"/>
      <c r="I261" s="72"/>
      <c r="J261" s="72"/>
      <c r="K261" s="72"/>
      <c r="L261" s="72"/>
      <c r="M261" s="72"/>
      <c r="N261" s="73" t="str">
        <f t="shared" si="12"/>
        <v/>
      </c>
      <c r="O261" s="43" t="str">
        <f t="shared" si="13"/>
        <v/>
      </c>
      <c r="P261" s="71"/>
      <c r="Q261" s="75" t="str">
        <f t="shared" si="14"/>
        <v/>
      </c>
      <c r="R261" s="43" t="str">
        <f t="shared" si="15"/>
        <v/>
      </c>
    </row>
    <row r="262" spans="2:18" ht="15" customHeight="1" x14ac:dyDescent="0.25">
      <c r="B262" s="71"/>
      <c r="C262" s="71"/>
      <c r="D262" s="71"/>
      <c r="E262" s="71"/>
      <c r="F262" s="71"/>
      <c r="G262" s="71"/>
      <c r="H262" s="71"/>
      <c r="I262" s="72"/>
      <c r="J262" s="72"/>
      <c r="K262" s="72"/>
      <c r="L262" s="72"/>
      <c r="M262" s="72"/>
      <c r="N262" s="73" t="str">
        <f t="shared" si="12"/>
        <v/>
      </c>
      <c r="O262" s="43" t="str">
        <f t="shared" si="13"/>
        <v/>
      </c>
      <c r="P262" s="71"/>
      <c r="Q262" s="75" t="str">
        <f t="shared" si="14"/>
        <v/>
      </c>
      <c r="R262" s="43" t="str">
        <f t="shared" si="15"/>
        <v/>
      </c>
    </row>
    <row r="263" spans="2:18" ht="15" customHeight="1" x14ac:dyDescent="0.25">
      <c r="B263" s="71"/>
      <c r="C263" s="71"/>
      <c r="D263" s="71"/>
      <c r="E263" s="71"/>
      <c r="F263" s="71"/>
      <c r="G263" s="71"/>
      <c r="H263" s="71"/>
      <c r="I263" s="72"/>
      <c r="J263" s="72"/>
      <c r="K263" s="72"/>
      <c r="L263" s="72"/>
      <c r="M263" s="72"/>
      <c r="N263" s="73" t="str">
        <f t="shared" si="12"/>
        <v/>
      </c>
      <c r="O263" s="43" t="str">
        <f t="shared" si="13"/>
        <v/>
      </c>
      <c r="P263" s="71"/>
      <c r="Q263" s="75" t="str">
        <f t="shared" si="14"/>
        <v/>
      </c>
      <c r="R263" s="43" t="str">
        <f t="shared" si="15"/>
        <v/>
      </c>
    </row>
    <row r="264" spans="2:18" ht="15" customHeight="1" x14ac:dyDescent="0.25">
      <c r="B264" s="71"/>
      <c r="C264" s="71"/>
      <c r="D264" s="71"/>
      <c r="E264" s="71"/>
      <c r="F264" s="71"/>
      <c r="G264" s="71"/>
      <c r="H264" s="71"/>
      <c r="I264" s="72"/>
      <c r="J264" s="72"/>
      <c r="K264" s="72"/>
      <c r="L264" s="72"/>
      <c r="M264" s="72"/>
      <c r="N264" s="73" t="str">
        <f t="shared" si="12"/>
        <v/>
      </c>
      <c r="O264" s="43" t="str">
        <f t="shared" si="13"/>
        <v/>
      </c>
      <c r="P264" s="71"/>
      <c r="Q264" s="75" t="str">
        <f t="shared" si="14"/>
        <v/>
      </c>
      <c r="R264" s="43" t="str">
        <f t="shared" si="15"/>
        <v/>
      </c>
    </row>
    <row r="265" spans="2:18" ht="15" customHeight="1" x14ac:dyDescent="0.25">
      <c r="B265" s="71"/>
      <c r="C265" s="71"/>
      <c r="D265" s="71"/>
      <c r="E265" s="71"/>
      <c r="F265" s="71"/>
      <c r="G265" s="71"/>
      <c r="H265" s="71"/>
      <c r="I265" s="72"/>
      <c r="J265" s="72"/>
      <c r="K265" s="72"/>
      <c r="L265" s="72"/>
      <c r="M265" s="72"/>
      <c r="N265" s="73" t="str">
        <f t="shared" si="12"/>
        <v/>
      </c>
      <c r="O265" s="43" t="str">
        <f t="shared" si="13"/>
        <v/>
      </c>
      <c r="P265" s="71"/>
      <c r="Q265" s="75" t="str">
        <f t="shared" si="14"/>
        <v/>
      </c>
      <c r="R265" s="43" t="str">
        <f t="shared" si="15"/>
        <v/>
      </c>
    </row>
    <row r="266" spans="2:18" ht="15" customHeight="1" x14ac:dyDescent="0.25">
      <c r="B266" s="71"/>
      <c r="C266" s="71"/>
      <c r="D266" s="71"/>
      <c r="E266" s="71"/>
      <c r="F266" s="71"/>
      <c r="G266" s="71"/>
      <c r="H266" s="71"/>
      <c r="I266" s="72"/>
      <c r="J266" s="72"/>
      <c r="K266" s="72"/>
      <c r="L266" s="72"/>
      <c r="M266" s="72"/>
      <c r="N266" s="73" t="str">
        <f t="shared" si="12"/>
        <v/>
      </c>
      <c r="O266" s="43" t="str">
        <f t="shared" si="13"/>
        <v/>
      </c>
      <c r="P266" s="71"/>
      <c r="Q266" s="75" t="str">
        <f t="shared" si="14"/>
        <v/>
      </c>
      <c r="R266" s="43" t="str">
        <f t="shared" si="15"/>
        <v/>
      </c>
    </row>
    <row r="267" spans="2:18" ht="15" customHeight="1" x14ac:dyDescent="0.25">
      <c r="B267" s="71"/>
      <c r="C267" s="71"/>
      <c r="D267" s="71"/>
      <c r="E267" s="71"/>
      <c r="F267" s="71"/>
      <c r="G267" s="71"/>
      <c r="H267" s="71"/>
      <c r="I267" s="72"/>
      <c r="J267" s="72"/>
      <c r="K267" s="72"/>
      <c r="L267" s="72"/>
      <c r="M267" s="72"/>
      <c r="N267" s="73" t="str">
        <f t="shared" si="12"/>
        <v/>
      </c>
      <c r="O267" s="43" t="str">
        <f t="shared" si="13"/>
        <v/>
      </c>
      <c r="P267" s="71"/>
      <c r="Q267" s="75" t="str">
        <f t="shared" si="14"/>
        <v/>
      </c>
      <c r="R267" s="43" t="str">
        <f t="shared" si="15"/>
        <v/>
      </c>
    </row>
    <row r="268" spans="2:18" ht="15" customHeight="1" x14ac:dyDescent="0.25">
      <c r="B268" s="71"/>
      <c r="C268" s="71"/>
      <c r="D268" s="71"/>
      <c r="E268" s="71"/>
      <c r="F268" s="71"/>
      <c r="G268" s="71"/>
      <c r="H268" s="71"/>
      <c r="I268" s="72"/>
      <c r="J268" s="72"/>
      <c r="K268" s="72"/>
      <c r="L268" s="72"/>
      <c r="M268" s="72"/>
      <c r="N268" s="73" t="str">
        <f t="shared" ref="N268:N304" si="16">IF(B268&lt;&gt;"",20%,"")</f>
        <v/>
      </c>
      <c r="O268" s="43" t="str">
        <f t="shared" ref="O268:O304" si="17">IF(B268&lt;&gt;"",ROUND(B268*(1+N268),2),"")</f>
        <v/>
      </c>
      <c r="P268" s="71"/>
      <c r="Q268" s="75" t="str">
        <f t="shared" ref="Q268:Q304" si="18">IF(C268&lt;&gt;"",110,"")</f>
        <v/>
      </c>
      <c r="R268" s="43" t="str">
        <f t="shared" ref="R268:R304" si="19">IF(OR(P268="",Q268=""),"",ROUND(P268*Q268,2))</f>
        <v/>
      </c>
    </row>
    <row r="269" spans="2:18" ht="15" customHeight="1" x14ac:dyDescent="0.25">
      <c r="B269" s="71"/>
      <c r="C269" s="71"/>
      <c r="D269" s="71"/>
      <c r="E269" s="71"/>
      <c r="F269" s="71"/>
      <c r="G269" s="71"/>
      <c r="H269" s="71"/>
      <c r="I269" s="72"/>
      <c r="J269" s="72"/>
      <c r="K269" s="72"/>
      <c r="L269" s="72"/>
      <c r="M269" s="72"/>
      <c r="N269" s="73" t="str">
        <f t="shared" si="16"/>
        <v/>
      </c>
      <c r="O269" s="43" t="str">
        <f t="shared" si="17"/>
        <v/>
      </c>
      <c r="P269" s="71"/>
      <c r="Q269" s="75" t="str">
        <f t="shared" si="18"/>
        <v/>
      </c>
      <c r="R269" s="43" t="str">
        <f t="shared" si="19"/>
        <v/>
      </c>
    </row>
    <row r="270" spans="2:18" ht="15" customHeight="1" x14ac:dyDescent="0.25">
      <c r="B270" s="71"/>
      <c r="C270" s="71"/>
      <c r="D270" s="71"/>
      <c r="E270" s="71"/>
      <c r="F270" s="71"/>
      <c r="G270" s="71"/>
      <c r="H270" s="71"/>
      <c r="I270" s="72"/>
      <c r="J270" s="72"/>
      <c r="K270" s="72"/>
      <c r="L270" s="72"/>
      <c r="M270" s="72"/>
      <c r="N270" s="73" t="str">
        <f t="shared" si="16"/>
        <v/>
      </c>
      <c r="O270" s="43" t="str">
        <f t="shared" si="17"/>
        <v/>
      </c>
      <c r="P270" s="71"/>
      <c r="Q270" s="75" t="str">
        <f t="shared" si="18"/>
        <v/>
      </c>
      <c r="R270" s="43" t="str">
        <f t="shared" si="19"/>
        <v/>
      </c>
    </row>
    <row r="271" spans="2:18" ht="15" customHeight="1" x14ac:dyDescent="0.25">
      <c r="B271" s="71"/>
      <c r="C271" s="71"/>
      <c r="D271" s="71"/>
      <c r="E271" s="71"/>
      <c r="F271" s="71"/>
      <c r="G271" s="71"/>
      <c r="H271" s="71"/>
      <c r="I271" s="72"/>
      <c r="J271" s="72"/>
      <c r="K271" s="72"/>
      <c r="L271" s="72"/>
      <c r="M271" s="72"/>
      <c r="N271" s="73" t="str">
        <f t="shared" si="16"/>
        <v/>
      </c>
      <c r="O271" s="43" t="str">
        <f t="shared" si="17"/>
        <v/>
      </c>
      <c r="P271" s="71"/>
      <c r="Q271" s="75" t="str">
        <f t="shared" si="18"/>
        <v/>
      </c>
      <c r="R271" s="43" t="str">
        <f t="shared" si="19"/>
        <v/>
      </c>
    </row>
    <row r="272" spans="2:18" ht="15" customHeight="1" x14ac:dyDescent="0.25">
      <c r="B272" s="71"/>
      <c r="C272" s="71"/>
      <c r="D272" s="71"/>
      <c r="E272" s="71"/>
      <c r="F272" s="71"/>
      <c r="G272" s="71"/>
      <c r="H272" s="71"/>
      <c r="I272" s="72"/>
      <c r="J272" s="72"/>
      <c r="K272" s="72"/>
      <c r="L272" s="72"/>
      <c r="M272" s="72"/>
      <c r="N272" s="73" t="str">
        <f t="shared" si="16"/>
        <v/>
      </c>
      <c r="O272" s="43" t="str">
        <f t="shared" si="17"/>
        <v/>
      </c>
      <c r="P272" s="71"/>
      <c r="Q272" s="75" t="str">
        <f t="shared" si="18"/>
        <v/>
      </c>
      <c r="R272" s="43" t="str">
        <f t="shared" si="19"/>
        <v/>
      </c>
    </row>
    <row r="273" spans="2:18" ht="15" customHeight="1" x14ac:dyDescent="0.25">
      <c r="B273" s="71"/>
      <c r="C273" s="71"/>
      <c r="D273" s="71"/>
      <c r="E273" s="71"/>
      <c r="F273" s="71"/>
      <c r="G273" s="71"/>
      <c r="H273" s="71"/>
      <c r="I273" s="72"/>
      <c r="J273" s="72"/>
      <c r="K273" s="72"/>
      <c r="L273" s="72"/>
      <c r="M273" s="72"/>
      <c r="N273" s="73" t="str">
        <f t="shared" si="16"/>
        <v/>
      </c>
      <c r="O273" s="43" t="str">
        <f t="shared" si="17"/>
        <v/>
      </c>
      <c r="P273" s="71"/>
      <c r="Q273" s="75" t="str">
        <f t="shared" si="18"/>
        <v/>
      </c>
      <c r="R273" s="43" t="str">
        <f t="shared" si="19"/>
        <v/>
      </c>
    </row>
    <row r="274" spans="2:18" ht="15" customHeight="1" x14ac:dyDescent="0.25">
      <c r="B274" s="71"/>
      <c r="C274" s="71"/>
      <c r="D274" s="71"/>
      <c r="E274" s="71"/>
      <c r="F274" s="71"/>
      <c r="G274" s="71"/>
      <c r="H274" s="71"/>
      <c r="I274" s="72"/>
      <c r="J274" s="72"/>
      <c r="K274" s="72"/>
      <c r="L274" s="72"/>
      <c r="M274" s="72"/>
      <c r="N274" s="73" t="str">
        <f t="shared" si="16"/>
        <v/>
      </c>
      <c r="O274" s="43" t="str">
        <f t="shared" si="17"/>
        <v/>
      </c>
      <c r="P274" s="71"/>
      <c r="Q274" s="75" t="str">
        <f t="shared" si="18"/>
        <v/>
      </c>
      <c r="R274" s="43" t="str">
        <f t="shared" si="19"/>
        <v/>
      </c>
    </row>
    <row r="275" spans="2:18" ht="15" customHeight="1" x14ac:dyDescent="0.25">
      <c r="B275" s="71"/>
      <c r="C275" s="71"/>
      <c r="D275" s="71"/>
      <c r="E275" s="71"/>
      <c r="F275" s="71"/>
      <c r="G275" s="71"/>
      <c r="H275" s="71"/>
      <c r="I275" s="72"/>
      <c r="J275" s="72"/>
      <c r="K275" s="72"/>
      <c r="L275" s="72"/>
      <c r="M275" s="72"/>
      <c r="N275" s="73" t="str">
        <f t="shared" si="16"/>
        <v/>
      </c>
      <c r="O275" s="43" t="str">
        <f t="shared" si="17"/>
        <v/>
      </c>
      <c r="P275" s="71"/>
      <c r="Q275" s="75" t="str">
        <f t="shared" si="18"/>
        <v/>
      </c>
      <c r="R275" s="43" t="str">
        <f t="shared" si="19"/>
        <v/>
      </c>
    </row>
    <row r="276" spans="2:18" ht="15" customHeight="1" x14ac:dyDescent="0.25">
      <c r="B276" s="71"/>
      <c r="C276" s="71"/>
      <c r="D276" s="71"/>
      <c r="E276" s="71"/>
      <c r="F276" s="71"/>
      <c r="G276" s="71"/>
      <c r="H276" s="71"/>
      <c r="I276" s="72"/>
      <c r="J276" s="72"/>
      <c r="K276" s="72"/>
      <c r="L276" s="72"/>
      <c r="M276" s="72"/>
      <c r="N276" s="73" t="str">
        <f t="shared" si="16"/>
        <v/>
      </c>
      <c r="O276" s="43" t="str">
        <f t="shared" si="17"/>
        <v/>
      </c>
      <c r="P276" s="71"/>
      <c r="Q276" s="75" t="str">
        <f t="shared" si="18"/>
        <v/>
      </c>
      <c r="R276" s="43" t="str">
        <f t="shared" si="19"/>
        <v/>
      </c>
    </row>
    <row r="277" spans="2:18" ht="15" customHeight="1" x14ac:dyDescent="0.25">
      <c r="B277" s="71"/>
      <c r="C277" s="71"/>
      <c r="D277" s="71"/>
      <c r="E277" s="71"/>
      <c r="F277" s="71"/>
      <c r="G277" s="71"/>
      <c r="H277" s="71"/>
      <c r="I277" s="72"/>
      <c r="J277" s="72"/>
      <c r="K277" s="72"/>
      <c r="L277" s="72"/>
      <c r="M277" s="72"/>
      <c r="N277" s="73" t="str">
        <f t="shared" si="16"/>
        <v/>
      </c>
      <c r="O277" s="43" t="str">
        <f t="shared" si="17"/>
        <v/>
      </c>
      <c r="P277" s="71"/>
      <c r="Q277" s="75" t="str">
        <f t="shared" si="18"/>
        <v/>
      </c>
      <c r="R277" s="43" t="str">
        <f t="shared" si="19"/>
        <v/>
      </c>
    </row>
    <row r="278" spans="2:18" ht="15" customHeight="1" x14ac:dyDescent="0.25">
      <c r="B278" s="71"/>
      <c r="C278" s="71"/>
      <c r="D278" s="71"/>
      <c r="E278" s="71"/>
      <c r="F278" s="71"/>
      <c r="G278" s="71"/>
      <c r="H278" s="71"/>
      <c r="I278" s="72"/>
      <c r="J278" s="72"/>
      <c r="K278" s="72"/>
      <c r="L278" s="72"/>
      <c r="M278" s="72"/>
      <c r="N278" s="73" t="str">
        <f t="shared" si="16"/>
        <v/>
      </c>
      <c r="O278" s="43" t="str">
        <f t="shared" si="17"/>
        <v/>
      </c>
      <c r="P278" s="71"/>
      <c r="Q278" s="75" t="str">
        <f t="shared" si="18"/>
        <v/>
      </c>
      <c r="R278" s="43" t="str">
        <f t="shared" si="19"/>
        <v/>
      </c>
    </row>
    <row r="279" spans="2:18" ht="15" customHeight="1" x14ac:dyDescent="0.25">
      <c r="B279" s="71"/>
      <c r="C279" s="71"/>
      <c r="D279" s="71"/>
      <c r="E279" s="71"/>
      <c r="F279" s="71"/>
      <c r="G279" s="71"/>
      <c r="H279" s="71"/>
      <c r="I279" s="72"/>
      <c r="J279" s="72"/>
      <c r="K279" s="72"/>
      <c r="L279" s="72"/>
      <c r="M279" s="72"/>
      <c r="N279" s="73" t="str">
        <f t="shared" si="16"/>
        <v/>
      </c>
      <c r="O279" s="43" t="str">
        <f t="shared" si="17"/>
        <v/>
      </c>
      <c r="P279" s="71"/>
      <c r="Q279" s="75" t="str">
        <f t="shared" si="18"/>
        <v/>
      </c>
      <c r="R279" s="43" t="str">
        <f t="shared" si="19"/>
        <v/>
      </c>
    </row>
    <row r="280" spans="2:18" ht="15" customHeight="1" x14ac:dyDescent="0.25">
      <c r="B280" s="71"/>
      <c r="C280" s="71"/>
      <c r="D280" s="71"/>
      <c r="E280" s="71"/>
      <c r="F280" s="71"/>
      <c r="G280" s="71"/>
      <c r="H280" s="71"/>
      <c r="I280" s="72"/>
      <c r="J280" s="72"/>
      <c r="K280" s="72"/>
      <c r="L280" s="72"/>
      <c r="M280" s="72"/>
      <c r="N280" s="73" t="str">
        <f t="shared" si="16"/>
        <v/>
      </c>
      <c r="O280" s="43" t="str">
        <f t="shared" si="17"/>
        <v/>
      </c>
      <c r="P280" s="71"/>
      <c r="Q280" s="75" t="str">
        <f t="shared" si="18"/>
        <v/>
      </c>
      <c r="R280" s="43" t="str">
        <f t="shared" si="19"/>
        <v/>
      </c>
    </row>
    <row r="281" spans="2:18" ht="15" customHeight="1" x14ac:dyDescent="0.25">
      <c r="B281" s="71"/>
      <c r="C281" s="71"/>
      <c r="D281" s="71"/>
      <c r="E281" s="71"/>
      <c r="F281" s="71"/>
      <c r="G281" s="71"/>
      <c r="H281" s="71"/>
      <c r="I281" s="72"/>
      <c r="J281" s="72"/>
      <c r="K281" s="72"/>
      <c r="L281" s="72"/>
      <c r="M281" s="72"/>
      <c r="N281" s="73" t="str">
        <f t="shared" si="16"/>
        <v/>
      </c>
      <c r="O281" s="43" t="str">
        <f t="shared" si="17"/>
        <v/>
      </c>
      <c r="P281" s="71"/>
      <c r="Q281" s="75" t="str">
        <f t="shared" si="18"/>
        <v/>
      </c>
      <c r="R281" s="43" t="str">
        <f t="shared" si="19"/>
        <v/>
      </c>
    </row>
    <row r="282" spans="2:18" ht="15" customHeight="1" x14ac:dyDescent="0.25">
      <c r="B282" s="71"/>
      <c r="C282" s="71"/>
      <c r="D282" s="71"/>
      <c r="E282" s="71"/>
      <c r="F282" s="71"/>
      <c r="G282" s="71"/>
      <c r="H282" s="71"/>
      <c r="I282" s="72"/>
      <c r="J282" s="72"/>
      <c r="K282" s="72"/>
      <c r="L282" s="72"/>
      <c r="M282" s="72"/>
      <c r="N282" s="73" t="str">
        <f t="shared" si="16"/>
        <v/>
      </c>
      <c r="O282" s="43" t="str">
        <f t="shared" si="17"/>
        <v/>
      </c>
      <c r="P282" s="71"/>
      <c r="Q282" s="75" t="str">
        <f t="shared" si="18"/>
        <v/>
      </c>
      <c r="R282" s="43" t="str">
        <f t="shared" si="19"/>
        <v/>
      </c>
    </row>
    <row r="283" spans="2:18" ht="15" customHeight="1" x14ac:dyDescent="0.25">
      <c r="B283" s="71"/>
      <c r="C283" s="71"/>
      <c r="D283" s="71"/>
      <c r="E283" s="71"/>
      <c r="F283" s="71"/>
      <c r="G283" s="71"/>
      <c r="H283" s="71"/>
      <c r="I283" s="72"/>
      <c r="J283" s="72"/>
      <c r="K283" s="72"/>
      <c r="L283" s="72"/>
      <c r="M283" s="72"/>
      <c r="N283" s="73" t="str">
        <f t="shared" si="16"/>
        <v/>
      </c>
      <c r="O283" s="43" t="str">
        <f t="shared" si="17"/>
        <v/>
      </c>
      <c r="P283" s="71"/>
      <c r="Q283" s="75" t="str">
        <f t="shared" si="18"/>
        <v/>
      </c>
      <c r="R283" s="43" t="str">
        <f t="shared" si="19"/>
        <v/>
      </c>
    </row>
    <row r="284" spans="2:18" ht="15" customHeight="1" x14ac:dyDescent="0.25">
      <c r="B284" s="71"/>
      <c r="C284" s="71"/>
      <c r="D284" s="71"/>
      <c r="E284" s="71"/>
      <c r="F284" s="71"/>
      <c r="G284" s="71"/>
      <c r="H284" s="71"/>
      <c r="I284" s="72"/>
      <c r="J284" s="72"/>
      <c r="K284" s="72"/>
      <c r="L284" s="72"/>
      <c r="M284" s="72"/>
      <c r="N284" s="73" t="str">
        <f t="shared" si="16"/>
        <v/>
      </c>
      <c r="O284" s="43" t="str">
        <f t="shared" si="17"/>
        <v/>
      </c>
      <c r="P284" s="71"/>
      <c r="Q284" s="75" t="str">
        <f t="shared" si="18"/>
        <v/>
      </c>
      <c r="R284" s="43" t="str">
        <f t="shared" si="19"/>
        <v/>
      </c>
    </row>
    <row r="285" spans="2:18" ht="15" customHeight="1" x14ac:dyDescent="0.25">
      <c r="B285" s="71"/>
      <c r="C285" s="71"/>
      <c r="D285" s="71"/>
      <c r="E285" s="71"/>
      <c r="F285" s="71"/>
      <c r="G285" s="71"/>
      <c r="H285" s="71"/>
      <c r="I285" s="72"/>
      <c r="J285" s="72"/>
      <c r="K285" s="72"/>
      <c r="L285" s="72"/>
      <c r="M285" s="72"/>
      <c r="N285" s="73" t="str">
        <f t="shared" si="16"/>
        <v/>
      </c>
      <c r="O285" s="43" t="str">
        <f t="shared" si="17"/>
        <v/>
      </c>
      <c r="P285" s="71"/>
      <c r="Q285" s="75" t="str">
        <f t="shared" si="18"/>
        <v/>
      </c>
      <c r="R285" s="43" t="str">
        <f t="shared" si="19"/>
        <v/>
      </c>
    </row>
    <row r="286" spans="2:18" ht="15" customHeight="1" x14ac:dyDescent="0.25">
      <c r="B286" s="71"/>
      <c r="C286" s="71"/>
      <c r="D286" s="71"/>
      <c r="E286" s="71"/>
      <c r="F286" s="71"/>
      <c r="G286" s="71"/>
      <c r="H286" s="71"/>
      <c r="I286" s="72"/>
      <c r="J286" s="72"/>
      <c r="K286" s="72"/>
      <c r="L286" s="72"/>
      <c r="M286" s="72"/>
      <c r="N286" s="73" t="str">
        <f t="shared" si="16"/>
        <v/>
      </c>
      <c r="O286" s="43" t="str">
        <f t="shared" si="17"/>
        <v/>
      </c>
      <c r="P286" s="71"/>
      <c r="Q286" s="75" t="str">
        <f t="shared" si="18"/>
        <v/>
      </c>
      <c r="R286" s="43" t="str">
        <f t="shared" si="19"/>
        <v/>
      </c>
    </row>
    <row r="287" spans="2:18" ht="15" customHeight="1" x14ac:dyDescent="0.25">
      <c r="B287" s="71"/>
      <c r="C287" s="71"/>
      <c r="D287" s="71"/>
      <c r="E287" s="71"/>
      <c r="F287" s="71"/>
      <c r="G287" s="71"/>
      <c r="H287" s="71"/>
      <c r="I287" s="72"/>
      <c r="J287" s="72"/>
      <c r="K287" s="72"/>
      <c r="L287" s="72"/>
      <c r="M287" s="72"/>
      <c r="N287" s="73" t="str">
        <f t="shared" si="16"/>
        <v/>
      </c>
      <c r="O287" s="43" t="str">
        <f t="shared" si="17"/>
        <v/>
      </c>
      <c r="P287" s="71"/>
      <c r="Q287" s="75" t="str">
        <f t="shared" si="18"/>
        <v/>
      </c>
      <c r="R287" s="43" t="str">
        <f t="shared" si="19"/>
        <v/>
      </c>
    </row>
    <row r="288" spans="2:18" ht="15" customHeight="1" x14ac:dyDescent="0.25">
      <c r="B288" s="71"/>
      <c r="C288" s="71"/>
      <c r="D288" s="71"/>
      <c r="E288" s="71"/>
      <c r="F288" s="71"/>
      <c r="G288" s="71"/>
      <c r="H288" s="71"/>
      <c r="I288" s="72"/>
      <c r="J288" s="72"/>
      <c r="K288" s="72"/>
      <c r="L288" s="72"/>
      <c r="M288" s="72"/>
      <c r="N288" s="73" t="str">
        <f t="shared" si="16"/>
        <v/>
      </c>
      <c r="O288" s="43" t="str">
        <f t="shared" si="17"/>
        <v/>
      </c>
      <c r="P288" s="71"/>
      <c r="Q288" s="75" t="str">
        <f t="shared" si="18"/>
        <v/>
      </c>
      <c r="R288" s="43" t="str">
        <f t="shared" si="19"/>
        <v/>
      </c>
    </row>
    <row r="289" spans="2:18" ht="15" customHeight="1" x14ac:dyDescent="0.25">
      <c r="B289" s="71"/>
      <c r="C289" s="71"/>
      <c r="D289" s="71"/>
      <c r="E289" s="71"/>
      <c r="F289" s="71"/>
      <c r="G289" s="71"/>
      <c r="H289" s="71"/>
      <c r="I289" s="72"/>
      <c r="J289" s="72"/>
      <c r="K289" s="72"/>
      <c r="L289" s="72"/>
      <c r="M289" s="72"/>
      <c r="N289" s="73" t="str">
        <f t="shared" si="16"/>
        <v/>
      </c>
      <c r="O289" s="43" t="str">
        <f t="shared" si="17"/>
        <v/>
      </c>
      <c r="P289" s="71"/>
      <c r="Q289" s="75" t="str">
        <f t="shared" si="18"/>
        <v/>
      </c>
      <c r="R289" s="43" t="str">
        <f t="shared" si="19"/>
        <v/>
      </c>
    </row>
    <row r="290" spans="2:18" ht="15" customHeight="1" x14ac:dyDescent="0.25">
      <c r="B290" s="71"/>
      <c r="C290" s="71"/>
      <c r="D290" s="71"/>
      <c r="E290" s="71"/>
      <c r="F290" s="71"/>
      <c r="G290" s="71"/>
      <c r="H290" s="71"/>
      <c r="I290" s="72"/>
      <c r="J290" s="72"/>
      <c r="K290" s="72"/>
      <c r="L290" s="72"/>
      <c r="M290" s="72"/>
      <c r="N290" s="73" t="str">
        <f t="shared" si="16"/>
        <v/>
      </c>
      <c r="O290" s="43" t="str">
        <f t="shared" si="17"/>
        <v/>
      </c>
      <c r="P290" s="71"/>
      <c r="Q290" s="75" t="str">
        <f t="shared" si="18"/>
        <v/>
      </c>
      <c r="R290" s="43" t="str">
        <f t="shared" si="19"/>
        <v/>
      </c>
    </row>
    <row r="291" spans="2:18" ht="15" customHeight="1" x14ac:dyDescent="0.25">
      <c r="B291" s="71"/>
      <c r="C291" s="71"/>
      <c r="D291" s="71"/>
      <c r="E291" s="71"/>
      <c r="F291" s="71"/>
      <c r="G291" s="71"/>
      <c r="H291" s="71"/>
      <c r="I291" s="72"/>
      <c r="J291" s="72"/>
      <c r="K291" s="72"/>
      <c r="L291" s="72"/>
      <c r="M291" s="72"/>
      <c r="N291" s="73" t="str">
        <f t="shared" si="16"/>
        <v/>
      </c>
      <c r="O291" s="43" t="str">
        <f t="shared" si="17"/>
        <v/>
      </c>
      <c r="P291" s="71"/>
      <c r="Q291" s="75" t="str">
        <f t="shared" si="18"/>
        <v/>
      </c>
      <c r="R291" s="43" t="str">
        <f t="shared" si="19"/>
        <v/>
      </c>
    </row>
    <row r="292" spans="2:18" ht="15" customHeight="1" x14ac:dyDescent="0.25">
      <c r="B292" s="71"/>
      <c r="C292" s="71"/>
      <c r="D292" s="71"/>
      <c r="E292" s="71"/>
      <c r="F292" s="71"/>
      <c r="G292" s="71"/>
      <c r="H292" s="71"/>
      <c r="I292" s="72"/>
      <c r="J292" s="72"/>
      <c r="K292" s="72"/>
      <c r="L292" s="72"/>
      <c r="M292" s="72"/>
      <c r="N292" s="73" t="str">
        <f t="shared" si="16"/>
        <v/>
      </c>
      <c r="O292" s="43" t="str">
        <f t="shared" si="17"/>
        <v/>
      </c>
      <c r="P292" s="71"/>
      <c r="Q292" s="75" t="str">
        <f t="shared" si="18"/>
        <v/>
      </c>
      <c r="R292" s="43" t="str">
        <f t="shared" si="19"/>
        <v/>
      </c>
    </row>
    <row r="293" spans="2:18" ht="15" customHeight="1" x14ac:dyDescent="0.25">
      <c r="B293" s="71"/>
      <c r="C293" s="71"/>
      <c r="D293" s="71"/>
      <c r="E293" s="71"/>
      <c r="F293" s="71"/>
      <c r="G293" s="71"/>
      <c r="H293" s="71"/>
      <c r="I293" s="72"/>
      <c r="J293" s="72"/>
      <c r="K293" s="72"/>
      <c r="L293" s="72"/>
      <c r="M293" s="72"/>
      <c r="N293" s="73" t="str">
        <f t="shared" si="16"/>
        <v/>
      </c>
      <c r="O293" s="43" t="str">
        <f t="shared" si="17"/>
        <v/>
      </c>
      <c r="P293" s="71"/>
      <c r="Q293" s="75" t="str">
        <f t="shared" si="18"/>
        <v/>
      </c>
      <c r="R293" s="43" t="str">
        <f t="shared" si="19"/>
        <v/>
      </c>
    </row>
    <row r="294" spans="2:18" ht="15" customHeight="1" x14ac:dyDescent="0.25">
      <c r="B294" s="71"/>
      <c r="C294" s="71"/>
      <c r="D294" s="71"/>
      <c r="E294" s="71"/>
      <c r="F294" s="71"/>
      <c r="G294" s="71"/>
      <c r="H294" s="71"/>
      <c r="I294" s="72"/>
      <c r="J294" s="72"/>
      <c r="K294" s="72"/>
      <c r="L294" s="72"/>
      <c r="M294" s="72"/>
      <c r="N294" s="73" t="str">
        <f t="shared" si="16"/>
        <v/>
      </c>
      <c r="O294" s="43" t="str">
        <f t="shared" si="17"/>
        <v/>
      </c>
      <c r="P294" s="71"/>
      <c r="Q294" s="75" t="str">
        <f t="shared" si="18"/>
        <v/>
      </c>
      <c r="R294" s="43" t="str">
        <f t="shared" si="19"/>
        <v/>
      </c>
    </row>
    <row r="295" spans="2:18" ht="15" customHeight="1" x14ac:dyDescent="0.25">
      <c r="B295" s="71"/>
      <c r="C295" s="71"/>
      <c r="D295" s="71"/>
      <c r="E295" s="71"/>
      <c r="F295" s="71"/>
      <c r="G295" s="71"/>
      <c r="H295" s="71"/>
      <c r="I295" s="72"/>
      <c r="J295" s="72"/>
      <c r="K295" s="72"/>
      <c r="L295" s="72"/>
      <c r="M295" s="72"/>
      <c r="N295" s="73" t="str">
        <f t="shared" si="16"/>
        <v/>
      </c>
      <c r="O295" s="43" t="str">
        <f t="shared" si="17"/>
        <v/>
      </c>
      <c r="P295" s="71"/>
      <c r="Q295" s="75" t="str">
        <f t="shared" si="18"/>
        <v/>
      </c>
      <c r="R295" s="43" t="str">
        <f t="shared" si="19"/>
        <v/>
      </c>
    </row>
    <row r="296" spans="2:18" ht="15" customHeight="1" x14ac:dyDescent="0.25">
      <c r="B296" s="71"/>
      <c r="C296" s="71"/>
      <c r="D296" s="71"/>
      <c r="E296" s="71"/>
      <c r="F296" s="71"/>
      <c r="G296" s="71"/>
      <c r="H296" s="71"/>
      <c r="I296" s="72"/>
      <c r="J296" s="72"/>
      <c r="K296" s="72"/>
      <c r="L296" s="72"/>
      <c r="M296" s="72"/>
      <c r="N296" s="73" t="str">
        <f t="shared" si="16"/>
        <v/>
      </c>
      <c r="O296" s="43" t="str">
        <f t="shared" si="17"/>
        <v/>
      </c>
      <c r="P296" s="71"/>
      <c r="Q296" s="75" t="str">
        <f t="shared" si="18"/>
        <v/>
      </c>
      <c r="R296" s="43" t="str">
        <f t="shared" si="19"/>
        <v/>
      </c>
    </row>
    <row r="297" spans="2:18" ht="15" customHeight="1" x14ac:dyDescent="0.25">
      <c r="B297" s="71"/>
      <c r="C297" s="71"/>
      <c r="D297" s="71"/>
      <c r="E297" s="71"/>
      <c r="F297" s="71"/>
      <c r="G297" s="71"/>
      <c r="H297" s="71"/>
      <c r="I297" s="72"/>
      <c r="J297" s="72"/>
      <c r="K297" s="72"/>
      <c r="L297" s="72"/>
      <c r="M297" s="72"/>
      <c r="N297" s="73" t="str">
        <f t="shared" si="16"/>
        <v/>
      </c>
      <c r="O297" s="43" t="str">
        <f t="shared" si="17"/>
        <v/>
      </c>
      <c r="P297" s="71"/>
      <c r="Q297" s="75" t="str">
        <f t="shared" si="18"/>
        <v/>
      </c>
      <c r="R297" s="43" t="str">
        <f t="shared" si="19"/>
        <v/>
      </c>
    </row>
    <row r="298" spans="2:18" ht="15" customHeight="1" x14ac:dyDescent="0.25">
      <c r="B298" s="71"/>
      <c r="C298" s="71"/>
      <c r="D298" s="71"/>
      <c r="E298" s="71"/>
      <c r="F298" s="71"/>
      <c r="G298" s="71"/>
      <c r="H298" s="71"/>
      <c r="I298" s="72"/>
      <c r="J298" s="72"/>
      <c r="K298" s="72"/>
      <c r="L298" s="72"/>
      <c r="M298" s="72"/>
      <c r="N298" s="73" t="str">
        <f t="shared" si="16"/>
        <v/>
      </c>
      <c r="O298" s="43" t="str">
        <f t="shared" si="17"/>
        <v/>
      </c>
      <c r="P298" s="71"/>
      <c r="Q298" s="75" t="str">
        <f t="shared" si="18"/>
        <v/>
      </c>
      <c r="R298" s="43" t="str">
        <f t="shared" si="19"/>
        <v/>
      </c>
    </row>
    <row r="299" spans="2:18" ht="15" customHeight="1" x14ac:dyDescent="0.25">
      <c r="B299" s="71"/>
      <c r="C299" s="71"/>
      <c r="D299" s="71"/>
      <c r="E299" s="71"/>
      <c r="F299" s="71"/>
      <c r="G299" s="71"/>
      <c r="H299" s="71"/>
      <c r="I299" s="72"/>
      <c r="J299" s="72"/>
      <c r="K299" s="72"/>
      <c r="L299" s="72"/>
      <c r="M299" s="72"/>
      <c r="N299" s="73" t="str">
        <f t="shared" si="16"/>
        <v/>
      </c>
      <c r="O299" s="43" t="str">
        <f t="shared" si="17"/>
        <v/>
      </c>
      <c r="P299" s="71"/>
      <c r="Q299" s="75" t="str">
        <f t="shared" si="18"/>
        <v/>
      </c>
      <c r="R299" s="43" t="str">
        <f t="shared" si="19"/>
        <v/>
      </c>
    </row>
    <row r="300" spans="2:18" ht="15" customHeight="1" x14ac:dyDescent="0.25">
      <c r="B300" s="71"/>
      <c r="C300" s="71"/>
      <c r="D300" s="71"/>
      <c r="E300" s="71"/>
      <c r="F300" s="71"/>
      <c r="G300" s="71"/>
      <c r="H300" s="71"/>
      <c r="I300" s="72"/>
      <c r="J300" s="72"/>
      <c r="K300" s="72"/>
      <c r="L300" s="72"/>
      <c r="M300" s="72"/>
      <c r="N300" s="73" t="str">
        <f t="shared" si="16"/>
        <v/>
      </c>
      <c r="O300" s="43" t="str">
        <f t="shared" si="17"/>
        <v/>
      </c>
      <c r="P300" s="71"/>
      <c r="Q300" s="75" t="str">
        <f t="shared" si="18"/>
        <v/>
      </c>
      <c r="R300" s="43" t="str">
        <f t="shared" si="19"/>
        <v/>
      </c>
    </row>
    <row r="301" spans="2:18" ht="15" customHeight="1" x14ac:dyDescent="0.25">
      <c r="B301" s="71"/>
      <c r="C301" s="71"/>
      <c r="D301" s="71"/>
      <c r="E301" s="71"/>
      <c r="F301" s="71"/>
      <c r="G301" s="71"/>
      <c r="H301" s="71"/>
      <c r="I301" s="72"/>
      <c r="J301" s="72"/>
      <c r="K301" s="72"/>
      <c r="L301" s="72"/>
      <c r="M301" s="72"/>
      <c r="N301" s="73" t="str">
        <f t="shared" si="16"/>
        <v/>
      </c>
      <c r="O301" s="43" t="str">
        <f t="shared" si="17"/>
        <v/>
      </c>
      <c r="P301" s="71"/>
      <c r="Q301" s="75" t="str">
        <f t="shared" si="18"/>
        <v/>
      </c>
      <c r="R301" s="43" t="str">
        <f t="shared" si="19"/>
        <v/>
      </c>
    </row>
    <row r="302" spans="2:18" ht="15" customHeight="1" x14ac:dyDescent="0.25">
      <c r="B302" s="71"/>
      <c r="C302" s="71"/>
      <c r="D302" s="71"/>
      <c r="E302" s="71"/>
      <c r="F302" s="71"/>
      <c r="G302" s="71"/>
      <c r="H302" s="71"/>
      <c r="I302" s="72"/>
      <c r="J302" s="72"/>
      <c r="K302" s="72"/>
      <c r="L302" s="72"/>
      <c r="M302" s="72"/>
      <c r="N302" s="73" t="str">
        <f t="shared" si="16"/>
        <v/>
      </c>
      <c r="O302" s="43" t="str">
        <f t="shared" si="17"/>
        <v/>
      </c>
      <c r="P302" s="71"/>
      <c r="Q302" s="75" t="str">
        <f t="shared" si="18"/>
        <v/>
      </c>
      <c r="R302" s="43" t="str">
        <f t="shared" si="19"/>
        <v/>
      </c>
    </row>
    <row r="303" spans="2:18" ht="15" customHeight="1" x14ac:dyDescent="0.25">
      <c r="B303" s="71"/>
      <c r="C303" s="71"/>
      <c r="D303" s="71"/>
      <c r="E303" s="71"/>
      <c r="F303" s="71"/>
      <c r="G303" s="71"/>
      <c r="H303" s="71"/>
      <c r="I303" s="72"/>
      <c r="J303" s="72"/>
      <c r="K303" s="72"/>
      <c r="L303" s="72"/>
      <c r="M303" s="72"/>
      <c r="N303" s="73" t="str">
        <f t="shared" si="16"/>
        <v/>
      </c>
      <c r="O303" s="43" t="str">
        <f t="shared" si="17"/>
        <v/>
      </c>
      <c r="P303" s="71"/>
      <c r="Q303" s="75" t="str">
        <f t="shared" si="18"/>
        <v/>
      </c>
      <c r="R303" s="43" t="str">
        <f t="shared" si="19"/>
        <v/>
      </c>
    </row>
    <row r="304" spans="2:18" ht="15" customHeight="1" x14ac:dyDescent="0.25">
      <c r="B304" s="71"/>
      <c r="C304" s="71"/>
      <c r="D304" s="71"/>
      <c r="E304" s="71"/>
      <c r="F304" s="71"/>
      <c r="G304" s="71"/>
      <c r="H304" s="71"/>
      <c r="I304" s="72"/>
      <c r="J304" s="72"/>
      <c r="K304" s="72"/>
      <c r="L304" s="72"/>
      <c r="M304" s="72"/>
      <c r="N304" s="73" t="str">
        <f t="shared" si="16"/>
        <v/>
      </c>
      <c r="O304" s="43" t="str">
        <f t="shared" si="17"/>
        <v/>
      </c>
      <c r="P304" s="71"/>
      <c r="Q304" s="75" t="str">
        <f t="shared" si="18"/>
        <v/>
      </c>
      <c r="R304" s="43" t="str">
        <f t="shared" si="19"/>
        <v/>
      </c>
    </row>
    <row r="305" s="76" customFormat="1" ht="15" customHeight="1" x14ac:dyDescent="0.25"/>
    <row r="306" s="76" customFormat="1" ht="15" customHeight="1" x14ac:dyDescent="0.25"/>
    <row r="307" s="76" customFormat="1" ht="15" customHeight="1" x14ac:dyDescent="0.25"/>
    <row r="308" s="76" customFormat="1" ht="15" customHeight="1" x14ac:dyDescent="0.25"/>
    <row r="309" s="76" customFormat="1" ht="15" customHeight="1" x14ac:dyDescent="0.25"/>
    <row r="310" s="76" customFormat="1" ht="15" customHeight="1" x14ac:dyDescent="0.25"/>
    <row r="311" s="76" customFormat="1" ht="15" customHeight="1" x14ac:dyDescent="0.25"/>
    <row r="312" s="76" customFormat="1" ht="15" customHeight="1" x14ac:dyDescent="0.25"/>
    <row r="313" s="76" customFormat="1" ht="15" customHeight="1" x14ac:dyDescent="0.25"/>
    <row r="314" s="76" customFormat="1" ht="15" customHeight="1" x14ac:dyDescent="0.25"/>
    <row r="315" s="76" customFormat="1" ht="15" customHeight="1" x14ac:dyDescent="0.25"/>
    <row r="316" s="76" customFormat="1" ht="15" customHeight="1" x14ac:dyDescent="0.25"/>
    <row r="317" s="76" customFormat="1" ht="15" customHeight="1" x14ac:dyDescent="0.25"/>
    <row r="318" s="76" customFormat="1" ht="15" customHeight="1" x14ac:dyDescent="0.25"/>
    <row r="319" s="76" customFormat="1" ht="15" customHeight="1" x14ac:dyDescent="0.25"/>
    <row r="320" s="76" customFormat="1" ht="15" customHeight="1" x14ac:dyDescent="0.25"/>
    <row r="321" s="76" customFormat="1" ht="15" customHeight="1" x14ac:dyDescent="0.25"/>
    <row r="322" s="76" customFormat="1" ht="15" customHeight="1" x14ac:dyDescent="0.25"/>
    <row r="323" s="76" customFormat="1" ht="15" customHeight="1" x14ac:dyDescent="0.25"/>
    <row r="324" s="76" customFormat="1" ht="15" customHeight="1" x14ac:dyDescent="0.25"/>
    <row r="325" s="76" customFormat="1" ht="15" customHeight="1" x14ac:dyDescent="0.25"/>
    <row r="326" s="76" customFormat="1" ht="15" customHeight="1" x14ac:dyDescent="0.25"/>
    <row r="327" s="76" customFormat="1" ht="15" customHeight="1" x14ac:dyDescent="0.25"/>
    <row r="328" s="76" customFormat="1" ht="15" customHeight="1" x14ac:dyDescent="0.25"/>
    <row r="329" s="76" customFormat="1" ht="15" customHeight="1" x14ac:dyDescent="0.25"/>
    <row r="330" s="76" customFormat="1" ht="15" customHeight="1" x14ac:dyDescent="0.25"/>
    <row r="331" s="76" customFormat="1" ht="15" customHeight="1" x14ac:dyDescent="0.25"/>
    <row r="332" s="76" customFormat="1" ht="15" customHeight="1" x14ac:dyDescent="0.25"/>
    <row r="333" s="76" customFormat="1" ht="15" customHeight="1" x14ac:dyDescent="0.25"/>
    <row r="334" s="76" customFormat="1" ht="15" customHeight="1" x14ac:dyDescent="0.25"/>
    <row r="335" s="76" customFormat="1" ht="15" customHeight="1" x14ac:dyDescent="0.25"/>
    <row r="336" s="76" customFormat="1" ht="15" customHeight="1" x14ac:dyDescent="0.25"/>
    <row r="337" s="76" customFormat="1" ht="15" customHeight="1" x14ac:dyDescent="0.25"/>
    <row r="338" s="76" customFormat="1" ht="15" customHeight="1" x14ac:dyDescent="0.25"/>
    <row r="339" s="76" customFormat="1" ht="15" customHeight="1" x14ac:dyDescent="0.25"/>
    <row r="340" s="76" customFormat="1" ht="15" customHeight="1" x14ac:dyDescent="0.25"/>
    <row r="341" s="76" customFormat="1" ht="15" customHeight="1" x14ac:dyDescent="0.25"/>
    <row r="342" s="76" customFormat="1" ht="15" customHeight="1" x14ac:dyDescent="0.25"/>
    <row r="343" s="76" customFormat="1" ht="15" customHeight="1" x14ac:dyDescent="0.25"/>
    <row r="344" s="76" customFormat="1" ht="15" customHeight="1" x14ac:dyDescent="0.25"/>
    <row r="345" s="76" customFormat="1" ht="15" customHeight="1" x14ac:dyDescent="0.25"/>
    <row r="346" s="76" customFormat="1" ht="15" customHeight="1" x14ac:dyDescent="0.25"/>
    <row r="347" s="76" customFormat="1" ht="15" customHeight="1" x14ac:dyDescent="0.25"/>
    <row r="348" s="76" customFormat="1" ht="15" customHeight="1" x14ac:dyDescent="0.25"/>
    <row r="349" s="76" customFormat="1" ht="15" customHeight="1" x14ac:dyDescent="0.25"/>
    <row r="350" s="76" customFormat="1" ht="15" customHeight="1" x14ac:dyDescent="0.25"/>
    <row r="351" s="76" customFormat="1" ht="15" customHeight="1" x14ac:dyDescent="0.25"/>
    <row r="352" s="76" customFormat="1" ht="15" customHeight="1" x14ac:dyDescent="0.25"/>
    <row r="353" s="76" customFormat="1" ht="15" customHeight="1" x14ac:dyDescent="0.25"/>
    <row r="354" s="76" customFormat="1" ht="15" customHeight="1" x14ac:dyDescent="0.25"/>
    <row r="355" s="76" customFormat="1" ht="15" customHeight="1" x14ac:dyDescent="0.25"/>
    <row r="356" s="76" customFormat="1" ht="15" customHeight="1" x14ac:dyDescent="0.25"/>
    <row r="357" s="76" customFormat="1" ht="15" customHeight="1" x14ac:dyDescent="0.25"/>
    <row r="358" s="76" customFormat="1" ht="15" customHeight="1" x14ac:dyDescent="0.25"/>
    <row r="359" s="76" customFormat="1" ht="15" customHeight="1" x14ac:dyDescent="0.25"/>
    <row r="360" s="76" customFormat="1" ht="15" customHeight="1" x14ac:dyDescent="0.25"/>
    <row r="361" s="76" customFormat="1" ht="15" customHeight="1" x14ac:dyDescent="0.25"/>
    <row r="362" s="76" customFormat="1" ht="15" customHeight="1" x14ac:dyDescent="0.25"/>
    <row r="363" s="76" customFormat="1" ht="15" customHeight="1" x14ac:dyDescent="0.25"/>
    <row r="364" s="76" customFormat="1" ht="15" customHeight="1" x14ac:dyDescent="0.25"/>
    <row r="365" s="76" customFormat="1" ht="15" customHeight="1" x14ac:dyDescent="0.25"/>
    <row r="366" s="76" customFormat="1" ht="15" customHeight="1" x14ac:dyDescent="0.25"/>
    <row r="367" s="76" customFormat="1" ht="15" customHeight="1" x14ac:dyDescent="0.25"/>
    <row r="368" s="76" customFormat="1" ht="15" customHeight="1" x14ac:dyDescent="0.25"/>
    <row r="369" s="76" customFormat="1" ht="15" customHeight="1" x14ac:dyDescent="0.25"/>
    <row r="370" s="76" customFormat="1" ht="15" customHeight="1" x14ac:dyDescent="0.25"/>
    <row r="371" s="76" customFormat="1" ht="15" customHeight="1" x14ac:dyDescent="0.25"/>
    <row r="372" s="76" customFormat="1" ht="15" customHeight="1" x14ac:dyDescent="0.25"/>
    <row r="373" s="76" customFormat="1" ht="15" customHeight="1" x14ac:dyDescent="0.25"/>
    <row r="374" s="76" customFormat="1" ht="15" customHeight="1" x14ac:dyDescent="0.25"/>
    <row r="375" s="76" customFormat="1" ht="15" customHeight="1" x14ac:dyDescent="0.25"/>
    <row r="376" s="76" customFormat="1" ht="15" customHeight="1" x14ac:dyDescent="0.25"/>
    <row r="377" s="76" customFormat="1" ht="15" customHeight="1" x14ac:dyDescent="0.25"/>
    <row r="378" s="76" customFormat="1" ht="15" customHeight="1" x14ac:dyDescent="0.25"/>
    <row r="379" s="76" customFormat="1" ht="15" customHeight="1" x14ac:dyDescent="0.25"/>
    <row r="380" s="76" customFormat="1" ht="15" customHeight="1" x14ac:dyDescent="0.25"/>
    <row r="381" s="76" customFormat="1" ht="15" customHeight="1" x14ac:dyDescent="0.25"/>
    <row r="382" s="76" customFormat="1" ht="15" customHeight="1" x14ac:dyDescent="0.25"/>
    <row r="383" s="76" customFormat="1" ht="15" customHeight="1" x14ac:dyDescent="0.25"/>
    <row r="384" s="76" customFormat="1" ht="15" customHeight="1" x14ac:dyDescent="0.25"/>
    <row r="385" s="76" customFormat="1" ht="15" customHeight="1" x14ac:dyDescent="0.25"/>
    <row r="386" s="76" customFormat="1" ht="15" customHeight="1" x14ac:dyDescent="0.25"/>
    <row r="387" s="76" customFormat="1" ht="15" customHeight="1" x14ac:dyDescent="0.25"/>
    <row r="388" s="76" customFormat="1" ht="15" customHeight="1" x14ac:dyDescent="0.25"/>
    <row r="389" s="76" customFormat="1" ht="15" customHeight="1" x14ac:dyDescent="0.25"/>
    <row r="390" s="76" customFormat="1" ht="15" customHeight="1" x14ac:dyDescent="0.25"/>
    <row r="391" s="76" customFormat="1" ht="15" customHeight="1" x14ac:dyDescent="0.25"/>
    <row r="392" s="76" customFormat="1" ht="15" customHeight="1" x14ac:dyDescent="0.25"/>
    <row r="393" s="76" customFormat="1" ht="15" customHeight="1" x14ac:dyDescent="0.25"/>
    <row r="394" s="76" customFormat="1" ht="15" customHeight="1" x14ac:dyDescent="0.25"/>
    <row r="395" s="76" customFormat="1" ht="15" customHeight="1" x14ac:dyDescent="0.25"/>
    <row r="396" s="76" customFormat="1" ht="15" customHeight="1" x14ac:dyDescent="0.25"/>
    <row r="397" s="76" customFormat="1" ht="15" customHeight="1" x14ac:dyDescent="0.25"/>
    <row r="398" s="76" customFormat="1" ht="15" customHeight="1" x14ac:dyDescent="0.25"/>
    <row r="399" s="76" customFormat="1" ht="15" customHeight="1" x14ac:dyDescent="0.25"/>
    <row r="400" s="76" customFormat="1" ht="15" customHeight="1" x14ac:dyDescent="0.25"/>
    <row r="401" s="76" customFormat="1" ht="15" customHeight="1" x14ac:dyDescent="0.25"/>
    <row r="402" s="76" customFormat="1" ht="15" customHeight="1" x14ac:dyDescent="0.25"/>
    <row r="403" s="76" customFormat="1" ht="15" customHeight="1" x14ac:dyDescent="0.25"/>
    <row r="404" s="76" customFormat="1" ht="15" customHeight="1" x14ac:dyDescent="0.25"/>
    <row r="405" s="76" customFormat="1" ht="15" customHeight="1" x14ac:dyDescent="0.25"/>
    <row r="406" s="76" customFormat="1" ht="15" customHeight="1" x14ac:dyDescent="0.25"/>
    <row r="407" s="76" customFormat="1" ht="15" customHeight="1" x14ac:dyDescent="0.25"/>
    <row r="408" s="76" customFormat="1" ht="15" customHeight="1" x14ac:dyDescent="0.25"/>
    <row r="409" s="76" customFormat="1" ht="15" customHeight="1" x14ac:dyDescent="0.25"/>
    <row r="410" s="76" customFormat="1" ht="15" customHeight="1" x14ac:dyDescent="0.25"/>
    <row r="411" s="76" customFormat="1" ht="15" customHeight="1" x14ac:dyDescent="0.25"/>
    <row r="412" s="76" customFormat="1" ht="15" customHeight="1" x14ac:dyDescent="0.25"/>
    <row r="413" s="76" customFormat="1" ht="15" customHeight="1" x14ac:dyDescent="0.25"/>
    <row r="414" s="76" customFormat="1" ht="15" customHeight="1" x14ac:dyDescent="0.25"/>
    <row r="415" s="76" customFormat="1" ht="15" customHeight="1" x14ac:dyDescent="0.25"/>
    <row r="416" s="76" customFormat="1" ht="15" customHeight="1" x14ac:dyDescent="0.25"/>
    <row r="417" s="76" customFormat="1" ht="15" customHeight="1" x14ac:dyDescent="0.25"/>
    <row r="418" s="76" customFormat="1" ht="15" customHeight="1" x14ac:dyDescent="0.25"/>
    <row r="419" s="76" customFormat="1" ht="15" customHeight="1" x14ac:dyDescent="0.25"/>
    <row r="420" s="76" customFormat="1" ht="15" customHeight="1" x14ac:dyDescent="0.25"/>
    <row r="421" s="76" customFormat="1" ht="15" customHeight="1" x14ac:dyDescent="0.25"/>
    <row r="422" s="76" customFormat="1" ht="15" customHeight="1" x14ac:dyDescent="0.25"/>
    <row r="423" s="76" customFormat="1" ht="15" customHeight="1" x14ac:dyDescent="0.25"/>
    <row r="424" s="76" customFormat="1" ht="15" customHeight="1" x14ac:dyDescent="0.25"/>
    <row r="425" s="76" customFormat="1" ht="15" customHeight="1" x14ac:dyDescent="0.25"/>
    <row r="426" s="76" customFormat="1" ht="15" customHeight="1" x14ac:dyDescent="0.25"/>
    <row r="427" s="76" customFormat="1" ht="15" customHeight="1" x14ac:dyDescent="0.25"/>
    <row r="428" s="76" customFormat="1" ht="15" customHeight="1" x14ac:dyDescent="0.25"/>
    <row r="429" s="76" customFormat="1" ht="15" customHeight="1" x14ac:dyDescent="0.25"/>
    <row r="430" s="76" customFormat="1" ht="15" customHeight="1" x14ac:dyDescent="0.25"/>
    <row r="431" s="76" customFormat="1" ht="15" customHeight="1" x14ac:dyDescent="0.25"/>
    <row r="432" s="76" customFormat="1" ht="15" customHeight="1" x14ac:dyDescent="0.25"/>
    <row r="433" s="76" customFormat="1" ht="15" customHeight="1" x14ac:dyDescent="0.25"/>
    <row r="434" s="76" customFormat="1" ht="15" customHeight="1" x14ac:dyDescent="0.25"/>
    <row r="435" s="76" customFormat="1" ht="15" customHeight="1" x14ac:dyDescent="0.25"/>
    <row r="436" s="76" customFormat="1" ht="15" customHeight="1" x14ac:dyDescent="0.25"/>
    <row r="437" s="76" customFormat="1" ht="15" customHeight="1" x14ac:dyDescent="0.25"/>
    <row r="438" s="76" customFormat="1" ht="15" customHeight="1" x14ac:dyDescent="0.25"/>
    <row r="439" s="76" customFormat="1" ht="15" customHeight="1" x14ac:dyDescent="0.25"/>
    <row r="440" s="76" customFormat="1" ht="15" customHeight="1" x14ac:dyDescent="0.25"/>
    <row r="441" s="76" customFormat="1" ht="15" customHeight="1" x14ac:dyDescent="0.25"/>
    <row r="442" s="76" customFormat="1" ht="15" customHeight="1" x14ac:dyDescent="0.25"/>
    <row r="443" s="76" customFormat="1" ht="15" customHeight="1" x14ac:dyDescent="0.25"/>
    <row r="444" s="76" customFormat="1" ht="15" customHeight="1" x14ac:dyDescent="0.25"/>
    <row r="445" s="76" customFormat="1" ht="15" customHeight="1" x14ac:dyDescent="0.25"/>
    <row r="446" s="76" customFormat="1" ht="15" customHeight="1" x14ac:dyDescent="0.25"/>
    <row r="447" s="76" customFormat="1" ht="15" customHeight="1" x14ac:dyDescent="0.25"/>
    <row r="448" s="76" customFormat="1" ht="15" customHeight="1" x14ac:dyDescent="0.25"/>
    <row r="449" s="76" customFormat="1" ht="15" customHeight="1" x14ac:dyDescent="0.25"/>
    <row r="450" s="76" customFormat="1" ht="15" customHeight="1" x14ac:dyDescent="0.25"/>
    <row r="451" s="76" customFormat="1" ht="15" customHeight="1" x14ac:dyDescent="0.25"/>
    <row r="452" s="76" customFormat="1" ht="15" customHeight="1" x14ac:dyDescent="0.25"/>
    <row r="453" s="76" customFormat="1" ht="15" customHeight="1" x14ac:dyDescent="0.25"/>
    <row r="454" s="76" customFormat="1" ht="15" customHeight="1" x14ac:dyDescent="0.25"/>
    <row r="455" s="76" customFormat="1" ht="15" customHeight="1" x14ac:dyDescent="0.25"/>
    <row r="456" s="76" customFormat="1" ht="15" customHeight="1" x14ac:dyDescent="0.25"/>
    <row r="457" s="76" customFormat="1" ht="15" customHeight="1" x14ac:dyDescent="0.25"/>
    <row r="458" s="76" customFormat="1" ht="15" customHeight="1" x14ac:dyDescent="0.25"/>
    <row r="459" s="76" customFormat="1" ht="15" customHeight="1" x14ac:dyDescent="0.25"/>
    <row r="460" s="76" customFormat="1" ht="15" customHeight="1" x14ac:dyDescent="0.25"/>
    <row r="461" s="76" customFormat="1" ht="15" customHeight="1" x14ac:dyDescent="0.25"/>
    <row r="462" s="76" customFormat="1" ht="15" customHeight="1" x14ac:dyDescent="0.25"/>
    <row r="463" s="76" customFormat="1" ht="15" customHeight="1" x14ac:dyDescent="0.25"/>
    <row r="464" s="76" customFormat="1" ht="15" customHeight="1" x14ac:dyDescent="0.25"/>
    <row r="465" s="76" customFormat="1" ht="15" customHeight="1" x14ac:dyDescent="0.25"/>
    <row r="466" s="76" customFormat="1" ht="15" customHeight="1" x14ac:dyDescent="0.25"/>
    <row r="467" s="76" customFormat="1" ht="15" customHeight="1" x14ac:dyDescent="0.25"/>
    <row r="468" s="76" customFormat="1" ht="15" customHeight="1" x14ac:dyDescent="0.25"/>
    <row r="469" s="76" customFormat="1" ht="15" customHeight="1" x14ac:dyDescent="0.25"/>
    <row r="470" s="76" customFormat="1" ht="15" customHeight="1" x14ac:dyDescent="0.25"/>
    <row r="471" s="76" customFormat="1" ht="15" customHeight="1" x14ac:dyDescent="0.25"/>
    <row r="472" s="76" customFormat="1" ht="15" customHeight="1" x14ac:dyDescent="0.25"/>
    <row r="473" s="76" customFormat="1" ht="15" customHeight="1" x14ac:dyDescent="0.25"/>
    <row r="474" s="76" customFormat="1" ht="15" customHeight="1" x14ac:dyDescent="0.25"/>
    <row r="475" s="76" customFormat="1" ht="15" customHeight="1" x14ac:dyDescent="0.25"/>
    <row r="476" s="76" customFormat="1" ht="15" customHeight="1" x14ac:dyDescent="0.25"/>
    <row r="477" s="76" customFormat="1" ht="15" customHeight="1" x14ac:dyDescent="0.25"/>
    <row r="478" s="76" customFormat="1" ht="15" customHeight="1" x14ac:dyDescent="0.25"/>
    <row r="479" s="76" customFormat="1" ht="15" customHeight="1" x14ac:dyDescent="0.25"/>
    <row r="480" s="76" customFormat="1" ht="15" customHeight="1" x14ac:dyDescent="0.25"/>
    <row r="481" s="76" customFormat="1" ht="15" customHeight="1" x14ac:dyDescent="0.25"/>
    <row r="482" s="76" customFormat="1" ht="15" customHeight="1" x14ac:dyDescent="0.25"/>
    <row r="483" s="76" customFormat="1" ht="15" customHeight="1" x14ac:dyDescent="0.25"/>
    <row r="484" s="76" customFormat="1" ht="15" customHeight="1" x14ac:dyDescent="0.25"/>
    <row r="485" s="76" customFormat="1" ht="15" customHeight="1" x14ac:dyDescent="0.25"/>
    <row r="486" s="76" customFormat="1" ht="15" customHeight="1" x14ac:dyDescent="0.25"/>
    <row r="487" s="76" customFormat="1" ht="15" customHeight="1" x14ac:dyDescent="0.25"/>
    <row r="488" s="76" customFormat="1" ht="15" customHeight="1" x14ac:dyDescent="0.25"/>
    <row r="489" s="76" customFormat="1" ht="15" customHeight="1" x14ac:dyDescent="0.25"/>
    <row r="490" s="76" customFormat="1" ht="15" customHeight="1" x14ac:dyDescent="0.25"/>
    <row r="491" s="76" customFormat="1" ht="15" customHeight="1" x14ac:dyDescent="0.25"/>
    <row r="492" s="76" customFormat="1" ht="15" customHeight="1" x14ac:dyDescent="0.25"/>
    <row r="493" s="76" customFormat="1" ht="15" customHeight="1" x14ac:dyDescent="0.25"/>
    <row r="494" s="76" customFormat="1" ht="15" customHeight="1" x14ac:dyDescent="0.25"/>
    <row r="495" s="76" customFormat="1" ht="15" customHeight="1" x14ac:dyDescent="0.25"/>
    <row r="496" s="76" customFormat="1" ht="15" customHeight="1" x14ac:dyDescent="0.25"/>
    <row r="497" s="76" customFormat="1" ht="15" customHeight="1" x14ac:dyDescent="0.25"/>
    <row r="498" s="76" customFormat="1" ht="15" customHeight="1" x14ac:dyDescent="0.25"/>
    <row r="499" s="76" customFormat="1" ht="15" customHeight="1" x14ac:dyDescent="0.25"/>
    <row r="500" s="76" customFormat="1" ht="15" customHeight="1" x14ac:dyDescent="0.25"/>
    <row r="501" s="76" customFormat="1" ht="15" customHeight="1" x14ac:dyDescent="0.25"/>
    <row r="502" s="76" customFormat="1" ht="15" customHeight="1" x14ac:dyDescent="0.25"/>
    <row r="503" s="76" customFormat="1" ht="15" customHeight="1" x14ac:dyDescent="0.25"/>
    <row r="504" s="76" customFormat="1" ht="15" customHeight="1" x14ac:dyDescent="0.25"/>
    <row r="505" s="76" customFormat="1" ht="15" customHeight="1" x14ac:dyDescent="0.25"/>
    <row r="506" s="76" customFormat="1" ht="15" customHeight="1" x14ac:dyDescent="0.25"/>
    <row r="507" s="76" customFormat="1" ht="15" customHeight="1" x14ac:dyDescent="0.25"/>
    <row r="508" s="76" customFormat="1" ht="15" customHeight="1" x14ac:dyDescent="0.25"/>
    <row r="509" s="76" customFormat="1" ht="15" customHeight="1" x14ac:dyDescent="0.25"/>
    <row r="510" s="76" customFormat="1" ht="15" customHeight="1" x14ac:dyDescent="0.25"/>
    <row r="511" s="76" customFormat="1" ht="15" customHeight="1" x14ac:dyDescent="0.25"/>
    <row r="512" s="76" customFormat="1" ht="15" customHeight="1" x14ac:dyDescent="0.25"/>
    <row r="513" s="76" customFormat="1" ht="15" customHeight="1" x14ac:dyDescent="0.25"/>
    <row r="514" s="76" customFormat="1" ht="15" customHeight="1" x14ac:dyDescent="0.25"/>
    <row r="515" s="76" customFormat="1" ht="15" customHeight="1" x14ac:dyDescent="0.25"/>
    <row r="516" s="76" customFormat="1" ht="15" customHeight="1" x14ac:dyDescent="0.25"/>
    <row r="517" s="76" customFormat="1" ht="15" customHeight="1" x14ac:dyDescent="0.25"/>
    <row r="518" s="76" customFormat="1" ht="15" customHeight="1" x14ac:dyDescent="0.25"/>
    <row r="519" s="76" customFormat="1" ht="15" customHeight="1" x14ac:dyDescent="0.25"/>
    <row r="520" s="76" customFormat="1" ht="15" customHeight="1" x14ac:dyDescent="0.25"/>
    <row r="521" s="76" customFormat="1" ht="15" customHeight="1" x14ac:dyDescent="0.25"/>
    <row r="522" s="76" customFormat="1" ht="15" customHeight="1" x14ac:dyDescent="0.25"/>
    <row r="523" s="76" customFormat="1" ht="15" customHeight="1" x14ac:dyDescent="0.25"/>
    <row r="524" s="76" customFormat="1" ht="15" customHeight="1" x14ac:dyDescent="0.25"/>
    <row r="525" s="76" customFormat="1" ht="15" customHeight="1" x14ac:dyDescent="0.25"/>
    <row r="526" s="76" customFormat="1" ht="15" customHeight="1" x14ac:dyDescent="0.25"/>
    <row r="527" s="76" customFormat="1" ht="15" customHeight="1" x14ac:dyDescent="0.25"/>
    <row r="528" s="76" customFormat="1" ht="15" customHeight="1" x14ac:dyDescent="0.25"/>
    <row r="529" s="76" customFormat="1" ht="15" customHeight="1" x14ac:dyDescent="0.25"/>
    <row r="530" s="76" customFormat="1" ht="15" customHeight="1" x14ac:dyDescent="0.25"/>
    <row r="531" s="76" customFormat="1" ht="15" customHeight="1" x14ac:dyDescent="0.25"/>
    <row r="532" s="76" customFormat="1" ht="15" customHeight="1" x14ac:dyDescent="0.25"/>
    <row r="533" s="76" customFormat="1" ht="15" customHeight="1" x14ac:dyDescent="0.25"/>
    <row r="534" s="76" customFormat="1" ht="15" customHeight="1" x14ac:dyDescent="0.25"/>
    <row r="535" s="76" customFormat="1" ht="15" customHeight="1" x14ac:dyDescent="0.25"/>
    <row r="536" s="76" customFormat="1" ht="15" customHeight="1" x14ac:dyDescent="0.25"/>
    <row r="537" s="76" customFormat="1" ht="15" customHeight="1" x14ac:dyDescent="0.25"/>
    <row r="538" s="76" customFormat="1" ht="15" customHeight="1" x14ac:dyDescent="0.25"/>
    <row r="539" s="76" customFormat="1" ht="15" customHeight="1" x14ac:dyDescent="0.25"/>
    <row r="540" s="76" customFormat="1" ht="15" customHeight="1" x14ac:dyDescent="0.25"/>
    <row r="541" s="76" customFormat="1" ht="15" customHeight="1" x14ac:dyDescent="0.25"/>
    <row r="542" s="76" customFormat="1" ht="15" customHeight="1" x14ac:dyDescent="0.25"/>
    <row r="543" s="76" customFormat="1" ht="15" customHeight="1" x14ac:dyDescent="0.25"/>
    <row r="544" s="76" customFormat="1" ht="15" customHeight="1" x14ac:dyDescent="0.25"/>
    <row r="545" s="76" customFormat="1" ht="15" customHeight="1" x14ac:dyDescent="0.25"/>
    <row r="546" s="76" customFormat="1" ht="15" customHeight="1" x14ac:dyDescent="0.25"/>
    <row r="547" s="76" customFormat="1" ht="15" customHeight="1" x14ac:dyDescent="0.25"/>
    <row r="548" s="76" customFormat="1" ht="15" customHeight="1" x14ac:dyDescent="0.25"/>
    <row r="549" s="76" customFormat="1" ht="15" customHeight="1" x14ac:dyDescent="0.25"/>
    <row r="550" s="76" customFormat="1" ht="15" customHeight="1" x14ac:dyDescent="0.25"/>
    <row r="551" s="76" customFormat="1" ht="15" customHeight="1" x14ac:dyDescent="0.25"/>
    <row r="552" s="76" customFormat="1" ht="15" customHeight="1" x14ac:dyDescent="0.25"/>
    <row r="553" s="76" customFormat="1" ht="15" customHeight="1" x14ac:dyDescent="0.25"/>
    <row r="554" s="76" customFormat="1" ht="15" customHeight="1" x14ac:dyDescent="0.25"/>
    <row r="555" s="76" customFormat="1" ht="15" customHeight="1" x14ac:dyDescent="0.25"/>
    <row r="556" s="76" customFormat="1" ht="15" customHeight="1" x14ac:dyDescent="0.25"/>
    <row r="557" s="76" customFormat="1" ht="15" customHeight="1" x14ac:dyDescent="0.25"/>
    <row r="558" s="76" customFormat="1" ht="15" customHeight="1" x14ac:dyDescent="0.25"/>
    <row r="559" s="76" customFormat="1" ht="15" customHeight="1" x14ac:dyDescent="0.25"/>
    <row r="560" s="76" customFormat="1" ht="15" customHeight="1" x14ac:dyDescent="0.25"/>
    <row r="561" s="76" customFormat="1" ht="15" customHeight="1" x14ac:dyDescent="0.25"/>
    <row r="562" s="76" customFormat="1" ht="15" customHeight="1" x14ac:dyDescent="0.25"/>
    <row r="563" s="76" customFormat="1" ht="15" customHeight="1" x14ac:dyDescent="0.25"/>
    <row r="564" s="76" customFormat="1" ht="15" customHeight="1" x14ac:dyDescent="0.25"/>
    <row r="565" s="76" customFormat="1" ht="15" customHeight="1" x14ac:dyDescent="0.25"/>
    <row r="566" s="76" customFormat="1" ht="15" customHeight="1" x14ac:dyDescent="0.25"/>
    <row r="567" s="76" customFormat="1" ht="15" customHeight="1" x14ac:dyDescent="0.25"/>
    <row r="568" s="76" customFormat="1" ht="15" customHeight="1" x14ac:dyDescent="0.25"/>
    <row r="569" s="76" customFormat="1" ht="15" customHeight="1" x14ac:dyDescent="0.25"/>
    <row r="570" s="76" customFormat="1" ht="15" customHeight="1" x14ac:dyDescent="0.25"/>
    <row r="571" s="76" customFormat="1" ht="15" customHeight="1" x14ac:dyDescent="0.25"/>
    <row r="572" s="76" customFormat="1" ht="15" customHeight="1" x14ac:dyDescent="0.25"/>
    <row r="573" s="76" customFormat="1" ht="15" customHeight="1" x14ac:dyDescent="0.25"/>
    <row r="574" s="76" customFormat="1" ht="15" customHeight="1" x14ac:dyDescent="0.25"/>
    <row r="575" s="76" customFormat="1" ht="15" customHeight="1" x14ac:dyDescent="0.25"/>
    <row r="576" s="76" customFormat="1" ht="15" customHeight="1" x14ac:dyDescent="0.25"/>
    <row r="577" s="76" customFormat="1" ht="15" customHeight="1" x14ac:dyDescent="0.25"/>
    <row r="578" s="76" customFormat="1" ht="15" customHeight="1" x14ac:dyDescent="0.25"/>
    <row r="579" s="76" customFormat="1" ht="15" customHeight="1" x14ac:dyDescent="0.25"/>
    <row r="580" s="76" customFormat="1" ht="15" customHeight="1" x14ac:dyDescent="0.25"/>
    <row r="581" s="76" customFormat="1" ht="15" customHeight="1" x14ac:dyDescent="0.25"/>
    <row r="582" s="76" customFormat="1" ht="15" customHeight="1" x14ac:dyDescent="0.25"/>
    <row r="583" s="76" customFormat="1" ht="15" customHeight="1" x14ac:dyDescent="0.25"/>
    <row r="584" s="76" customFormat="1" ht="15" customHeight="1" x14ac:dyDescent="0.25"/>
    <row r="585" s="76" customFormat="1" ht="15" customHeight="1" x14ac:dyDescent="0.25"/>
    <row r="586" s="76" customFormat="1" ht="15" customHeight="1" x14ac:dyDescent="0.25"/>
    <row r="587" s="76" customFormat="1" ht="15" customHeight="1" x14ac:dyDescent="0.25"/>
    <row r="588" s="76" customFormat="1" ht="15" customHeight="1" x14ac:dyDescent="0.25"/>
    <row r="589" s="76" customFormat="1" ht="15" customHeight="1" x14ac:dyDescent="0.25"/>
    <row r="590" s="76" customFormat="1" ht="15" customHeight="1" x14ac:dyDescent="0.25"/>
    <row r="591" s="76" customFormat="1" ht="15" customHeight="1" x14ac:dyDescent="0.25"/>
    <row r="592" s="76" customFormat="1" ht="15" customHeight="1" x14ac:dyDescent="0.25"/>
    <row r="593" s="76" customFormat="1" ht="15" customHeight="1" x14ac:dyDescent="0.25"/>
    <row r="594" s="76" customFormat="1" ht="15" customHeight="1" x14ac:dyDescent="0.25"/>
    <row r="595" s="76" customFormat="1" ht="15" customHeight="1" x14ac:dyDescent="0.25"/>
    <row r="596" s="76" customFormat="1" ht="15" customHeight="1" x14ac:dyDescent="0.25"/>
    <row r="597" s="76" customFormat="1" ht="15" customHeight="1" x14ac:dyDescent="0.25"/>
    <row r="598" s="76" customFormat="1" ht="15" customHeight="1" x14ac:dyDescent="0.25"/>
    <row r="599" s="76" customFormat="1" ht="15" customHeight="1" x14ac:dyDescent="0.25"/>
    <row r="600" s="76" customFormat="1" ht="15" customHeight="1" x14ac:dyDescent="0.25"/>
    <row r="601" s="76" customFormat="1" ht="15" customHeight="1" x14ac:dyDescent="0.25"/>
    <row r="602" s="76" customFormat="1" ht="15" customHeight="1" x14ac:dyDescent="0.25"/>
    <row r="603" s="76" customFormat="1" ht="15" customHeight="1" x14ac:dyDescent="0.25"/>
    <row r="604" s="76" customFormat="1" ht="15" customHeight="1" x14ac:dyDescent="0.25"/>
    <row r="605" s="76" customFormat="1" ht="15" customHeight="1" x14ac:dyDescent="0.25"/>
    <row r="606" s="76" customFormat="1" ht="15" customHeight="1" x14ac:dyDescent="0.25"/>
    <row r="607" s="76" customFormat="1" ht="15" customHeight="1" x14ac:dyDescent="0.25"/>
    <row r="608" s="76" customFormat="1" ht="15" customHeight="1" x14ac:dyDescent="0.25"/>
    <row r="609" s="76" customFormat="1" ht="15" customHeight="1" x14ac:dyDescent="0.25"/>
    <row r="610" s="76" customFormat="1" ht="15" customHeight="1" x14ac:dyDescent="0.25"/>
    <row r="611" s="76" customFormat="1" ht="15" customHeight="1" x14ac:dyDescent="0.25"/>
    <row r="612" s="76" customFormat="1" ht="15" customHeight="1" x14ac:dyDescent="0.25"/>
    <row r="613" s="76" customFormat="1" ht="15" customHeight="1" x14ac:dyDescent="0.25"/>
    <row r="614" s="76" customFormat="1" ht="15" customHeight="1" x14ac:dyDescent="0.25"/>
    <row r="615" s="76" customFormat="1" ht="15" customHeight="1" x14ac:dyDescent="0.25"/>
    <row r="616" s="76" customFormat="1" ht="15" customHeight="1" x14ac:dyDescent="0.25"/>
    <row r="617" s="76" customFormat="1" ht="15" customHeight="1" x14ac:dyDescent="0.25"/>
    <row r="618" s="76" customFormat="1" ht="15" customHeight="1" x14ac:dyDescent="0.25"/>
    <row r="619" s="76" customFormat="1" ht="15" customHeight="1" x14ac:dyDescent="0.25"/>
    <row r="620" s="76" customFormat="1" ht="15" customHeight="1" x14ac:dyDescent="0.25"/>
    <row r="621" s="76" customFormat="1" ht="15" customHeight="1" x14ac:dyDescent="0.25"/>
    <row r="622" s="76" customFormat="1" ht="15" customHeight="1" x14ac:dyDescent="0.25"/>
    <row r="623" s="76" customFormat="1" ht="15" customHeight="1" x14ac:dyDescent="0.25"/>
    <row r="624" s="76" customFormat="1" ht="15" customHeight="1" x14ac:dyDescent="0.25"/>
    <row r="625" s="76" customFormat="1" ht="15" customHeight="1" x14ac:dyDescent="0.25"/>
    <row r="626" s="76" customFormat="1" ht="15" customHeight="1" x14ac:dyDescent="0.25"/>
    <row r="627" s="76" customFormat="1" ht="15" customHeight="1" x14ac:dyDescent="0.25"/>
    <row r="628" s="76" customFormat="1" ht="15" customHeight="1" x14ac:dyDescent="0.25"/>
    <row r="629" s="76" customFormat="1" ht="15" customHeight="1" x14ac:dyDescent="0.25"/>
    <row r="630" s="76" customFormat="1" ht="15" customHeight="1" x14ac:dyDescent="0.25"/>
    <row r="631" s="76" customFormat="1" ht="15" customHeight="1" x14ac:dyDescent="0.25"/>
    <row r="632" s="76" customFormat="1" ht="15" customHeight="1" x14ac:dyDescent="0.25"/>
    <row r="633" s="76" customFormat="1" ht="15" customHeight="1" x14ac:dyDescent="0.25"/>
    <row r="634" s="76" customFormat="1" ht="15" customHeight="1" x14ac:dyDescent="0.25"/>
    <row r="635" s="76" customFormat="1" ht="15" customHeight="1" x14ac:dyDescent="0.25"/>
    <row r="636" s="76" customFormat="1" ht="15" customHeight="1" x14ac:dyDescent="0.25"/>
    <row r="637" s="76" customFormat="1" ht="15" customHeight="1" x14ac:dyDescent="0.25"/>
    <row r="638" s="76" customFormat="1" ht="15" customHeight="1" x14ac:dyDescent="0.25"/>
    <row r="639" s="76" customFormat="1" ht="15" customHeight="1" x14ac:dyDescent="0.25"/>
    <row r="640" s="76" customFormat="1" ht="15" customHeight="1" x14ac:dyDescent="0.25"/>
    <row r="641" s="76" customFormat="1" ht="15" customHeight="1" x14ac:dyDescent="0.25"/>
    <row r="642" s="76" customFormat="1" ht="15" customHeight="1" x14ac:dyDescent="0.25"/>
    <row r="643" s="76" customFormat="1" ht="15" customHeight="1" x14ac:dyDescent="0.25"/>
    <row r="644" s="76" customFormat="1" ht="15" customHeight="1" x14ac:dyDescent="0.25"/>
    <row r="645" s="76" customFormat="1" ht="15" customHeight="1" x14ac:dyDescent="0.25"/>
    <row r="646" s="76" customFormat="1" ht="15" customHeight="1" x14ac:dyDescent="0.25"/>
    <row r="647" s="76" customFormat="1" ht="15" customHeight="1" x14ac:dyDescent="0.25"/>
    <row r="648" s="76" customFormat="1" ht="15" customHeight="1" x14ac:dyDescent="0.25"/>
    <row r="649" s="76" customFormat="1" ht="15" customHeight="1" x14ac:dyDescent="0.25"/>
    <row r="650" s="76" customFormat="1" ht="15" customHeight="1" x14ac:dyDescent="0.25"/>
    <row r="651" s="76" customFormat="1" ht="15" customHeight="1" x14ac:dyDescent="0.25"/>
    <row r="652" s="76" customFormat="1" ht="15" customHeight="1" x14ac:dyDescent="0.25"/>
    <row r="653" s="76" customFormat="1" ht="15" customHeight="1" x14ac:dyDescent="0.25"/>
    <row r="654" s="76" customFormat="1" ht="15" customHeight="1" x14ac:dyDescent="0.25"/>
    <row r="655" s="76" customFormat="1" ht="15" customHeight="1" x14ac:dyDescent="0.25"/>
    <row r="656" s="76" customFormat="1" ht="15" customHeight="1" x14ac:dyDescent="0.25"/>
    <row r="657" s="76" customFormat="1" ht="15" customHeight="1" x14ac:dyDescent="0.25"/>
    <row r="658" s="76" customFormat="1" ht="15" customHeight="1" x14ac:dyDescent="0.25"/>
    <row r="659" s="76" customFormat="1" ht="15" customHeight="1" x14ac:dyDescent="0.25"/>
    <row r="660" s="76" customFormat="1" ht="15" customHeight="1" x14ac:dyDescent="0.25"/>
    <row r="661" s="76" customFormat="1" ht="15" customHeight="1" x14ac:dyDescent="0.25"/>
    <row r="662" s="76" customFormat="1" ht="15" customHeight="1" x14ac:dyDescent="0.25"/>
    <row r="663" s="76" customFormat="1" ht="15" customHeight="1" x14ac:dyDescent="0.25"/>
    <row r="664" s="76" customFormat="1" ht="15" customHeight="1" x14ac:dyDescent="0.25"/>
    <row r="665" s="76" customFormat="1" ht="15" customHeight="1" x14ac:dyDescent="0.25"/>
    <row r="666" s="76" customFormat="1" ht="15" customHeight="1" x14ac:dyDescent="0.25"/>
    <row r="667" s="76" customFormat="1" ht="15" customHeight="1" x14ac:dyDescent="0.25"/>
    <row r="668" s="76" customFormat="1" ht="15" customHeight="1" x14ac:dyDescent="0.25"/>
    <row r="669" s="76" customFormat="1" ht="15" customHeight="1" x14ac:dyDescent="0.25"/>
    <row r="670" s="76" customFormat="1" ht="15" customHeight="1" x14ac:dyDescent="0.25"/>
    <row r="671" s="76" customFormat="1" ht="15" customHeight="1" x14ac:dyDescent="0.25"/>
    <row r="672" s="76" customFormat="1" ht="15" customHeight="1" x14ac:dyDescent="0.25"/>
    <row r="673" s="76" customFormat="1" ht="15" customHeight="1" x14ac:dyDescent="0.25"/>
    <row r="674" s="76" customFormat="1" ht="15" customHeight="1" x14ac:dyDescent="0.25"/>
    <row r="675" s="76" customFormat="1" ht="15" customHeight="1" x14ac:dyDescent="0.25"/>
    <row r="676" s="76" customFormat="1" ht="15" customHeight="1" x14ac:dyDescent="0.25"/>
    <row r="677" s="76" customFormat="1" ht="15" customHeight="1" x14ac:dyDescent="0.25"/>
    <row r="678" s="76" customFormat="1" ht="15" customHeight="1" x14ac:dyDescent="0.25"/>
    <row r="679" s="76" customFormat="1" ht="15" customHeight="1" x14ac:dyDescent="0.25"/>
    <row r="680" s="76" customFormat="1" ht="15" customHeight="1" x14ac:dyDescent="0.25"/>
    <row r="681" s="76" customFormat="1" ht="15" customHeight="1" x14ac:dyDescent="0.25"/>
    <row r="682" s="76" customFormat="1" ht="15" customHeight="1" x14ac:dyDescent="0.25"/>
    <row r="683" s="76" customFormat="1" ht="15" customHeight="1" x14ac:dyDescent="0.25"/>
    <row r="684" s="76" customFormat="1" ht="15" customHeight="1" x14ac:dyDescent="0.25"/>
    <row r="685" s="76" customFormat="1" ht="15" customHeight="1" x14ac:dyDescent="0.25"/>
    <row r="686" s="76" customFormat="1" ht="15" customHeight="1" x14ac:dyDescent="0.25"/>
    <row r="687" s="76" customFormat="1" ht="15" customHeight="1" x14ac:dyDescent="0.25"/>
    <row r="688" s="76" customFormat="1" ht="15" customHeight="1" x14ac:dyDescent="0.25"/>
    <row r="689" s="76" customFormat="1" ht="15" customHeight="1" x14ac:dyDescent="0.25"/>
    <row r="690" s="76" customFormat="1" ht="15" customHeight="1" x14ac:dyDescent="0.25"/>
    <row r="691" s="76" customFormat="1" ht="15" customHeight="1" x14ac:dyDescent="0.25"/>
    <row r="692" s="76" customFormat="1" ht="15" customHeight="1" x14ac:dyDescent="0.25"/>
    <row r="693" s="76" customFormat="1" ht="15" customHeight="1" x14ac:dyDescent="0.25"/>
    <row r="694" s="76" customFormat="1" ht="15" customHeight="1" x14ac:dyDescent="0.25"/>
    <row r="695" s="76" customFormat="1" ht="15" customHeight="1" x14ac:dyDescent="0.25"/>
    <row r="696" s="76" customFormat="1" ht="15" customHeight="1" x14ac:dyDescent="0.25"/>
    <row r="697" s="76" customFormat="1" ht="15" customHeight="1" x14ac:dyDescent="0.25"/>
    <row r="698" s="76" customFormat="1" ht="15" customHeight="1" x14ac:dyDescent="0.25"/>
    <row r="699" s="76" customFormat="1" ht="15" customHeight="1" x14ac:dyDescent="0.25"/>
    <row r="700" s="76" customFormat="1" ht="15" customHeight="1" x14ac:dyDescent="0.25"/>
    <row r="701" s="76" customFormat="1" ht="15" customHeight="1" x14ac:dyDescent="0.25"/>
    <row r="702" s="76" customFormat="1" ht="15" customHeight="1" x14ac:dyDescent="0.25"/>
    <row r="703" s="76" customFormat="1" ht="15" customHeight="1" x14ac:dyDescent="0.25"/>
    <row r="704" s="76" customFormat="1" ht="15" customHeight="1" x14ac:dyDescent="0.25"/>
    <row r="705" s="76" customFormat="1" ht="15" customHeight="1" x14ac:dyDescent="0.25"/>
    <row r="706" s="76" customFormat="1" ht="15" customHeight="1" x14ac:dyDescent="0.25"/>
    <row r="707" s="76" customFormat="1" ht="15" customHeight="1" x14ac:dyDescent="0.25"/>
    <row r="708" s="76" customFormat="1" ht="15" customHeight="1" x14ac:dyDescent="0.25"/>
    <row r="709" s="76" customFormat="1" ht="15" customHeight="1" x14ac:dyDescent="0.25"/>
    <row r="710" s="76" customFormat="1" ht="15" customHeight="1" x14ac:dyDescent="0.25"/>
    <row r="711" s="76" customFormat="1" ht="15" customHeight="1" x14ac:dyDescent="0.25"/>
    <row r="712" s="76" customFormat="1" ht="15" customHeight="1" x14ac:dyDescent="0.25"/>
    <row r="713" s="76" customFormat="1" ht="15" customHeight="1" x14ac:dyDescent="0.25"/>
    <row r="714" s="76" customFormat="1" ht="15" customHeight="1" x14ac:dyDescent="0.25"/>
    <row r="715" s="76" customFormat="1" ht="15" customHeight="1" x14ac:dyDescent="0.25"/>
    <row r="716" s="76" customFormat="1" ht="15" customHeight="1" x14ac:dyDescent="0.25"/>
    <row r="717" s="76" customFormat="1" ht="15" customHeight="1" x14ac:dyDescent="0.25"/>
    <row r="718" s="76" customFormat="1" ht="15" customHeight="1" x14ac:dyDescent="0.25"/>
    <row r="719" s="76" customFormat="1" ht="15" customHeight="1" x14ac:dyDescent="0.25"/>
    <row r="720" s="76" customFormat="1" ht="15" customHeight="1" x14ac:dyDescent="0.25"/>
    <row r="721" s="76" customFormat="1" ht="15" customHeight="1" x14ac:dyDescent="0.25"/>
    <row r="722" s="76" customFormat="1" ht="15" customHeight="1" x14ac:dyDescent="0.25"/>
    <row r="723" s="76" customFormat="1" ht="15" customHeight="1" x14ac:dyDescent="0.25"/>
    <row r="724" s="76" customFormat="1" ht="15" customHeight="1" x14ac:dyDescent="0.25"/>
    <row r="725" s="76" customFormat="1" ht="15" customHeight="1" x14ac:dyDescent="0.25"/>
  </sheetData>
  <mergeCells count="15">
    <mergeCell ref="M4:M7"/>
    <mergeCell ref="N4:R7"/>
    <mergeCell ref="B6:C6"/>
    <mergeCell ref="B7:C7"/>
    <mergeCell ref="D1:F1"/>
    <mergeCell ref="P1:R1"/>
    <mergeCell ref="B2:C2"/>
    <mergeCell ref="D2:F2"/>
    <mergeCell ref="D3:F3"/>
    <mergeCell ref="N3:R3"/>
    <mergeCell ref="B8:C8"/>
    <mergeCell ref="B9:C9"/>
    <mergeCell ref="B10:C10"/>
    <mergeCell ref="B4:C4"/>
    <mergeCell ref="D4:F4"/>
  </mergeCells>
  <conditionalFormatting sqref="O3:R3">
    <cfRule type="expression" dxfId="18" priority="2">
      <formula>$N$3&lt;&gt;""</formula>
    </cfRule>
  </conditionalFormatting>
  <conditionalFormatting sqref="N3:R3">
    <cfRule type="cellIs" dxfId="17" priority="3" operator="equal">
      <formula>"THIS VENDOR REQUIRES A P.O. NUMBER"</formula>
    </cfRule>
  </conditionalFormatting>
  <conditionalFormatting sqref="H7">
    <cfRule type="cellIs" dxfId="16" priority="4" operator="equal">
      <formula>"SELECT OTHER ACCOUNT"</formula>
    </cfRule>
  </conditionalFormatting>
  <conditionalFormatting sqref="L10">
    <cfRule type="expression" dxfId="15" priority="5">
      <formula>$L$10&lt;&gt;0</formula>
    </cfRule>
  </conditionalFormatting>
  <conditionalFormatting sqref="K10">
    <cfRule type="expression" dxfId="14" priority="6">
      <formula>$K$10=""</formula>
    </cfRule>
  </conditionalFormatting>
  <conditionalFormatting sqref="J9">
    <cfRule type="expression" dxfId="13" priority="7">
      <formula>$J$9=""</formula>
    </cfRule>
  </conditionalFormatting>
  <conditionalFormatting sqref="D3:F3">
    <cfRule type="expression" dxfId="12" priority="8">
      <formula>$D$3="ENTER"</formula>
    </cfRule>
  </conditionalFormatting>
  <conditionalFormatting sqref="D2:F2">
    <cfRule type="expression" dxfId="11" priority="9">
      <formula>$D$2="ENTER"</formula>
    </cfRule>
  </conditionalFormatting>
  <conditionalFormatting sqref="P1:R1">
    <cfRule type="expression" dxfId="10" priority="10">
      <formula>$P$1="SELECT OR TYPE"</formula>
    </cfRule>
  </conditionalFormatting>
  <conditionalFormatting sqref="B6:H6">
    <cfRule type="expression" dxfId="9" priority="11">
      <formula>$D$4="Rental"</formula>
    </cfRule>
    <cfRule type="expression" dxfId="8" priority="12">
      <formula>$D$4="Lease"</formula>
    </cfRule>
  </conditionalFormatting>
  <conditionalFormatting sqref="D4:F4">
    <cfRule type="expression" dxfId="7" priority="13">
      <formula>$D$4="Rental"</formula>
    </cfRule>
    <cfRule type="expression" dxfId="6" priority="14">
      <formula>$D$4="Lease"</formula>
    </cfRule>
    <cfRule type="expression" dxfId="5" priority="15">
      <formula>$D$4="SELECT"</formula>
    </cfRule>
  </conditionalFormatting>
  <conditionalFormatting sqref="D1:F1">
    <cfRule type="expression" dxfId="4" priority="16">
      <formula>$D$1="SELECT OR TYPE"</formula>
    </cfRule>
  </conditionalFormatting>
  <conditionalFormatting sqref="R12:R304">
    <cfRule type="expression" dxfId="3" priority="17">
      <formula>AND($C12&lt;&gt;"",$R12="")</formula>
    </cfRule>
  </conditionalFormatting>
  <conditionalFormatting sqref="P12:P304">
    <cfRule type="expression" dxfId="2" priority="18">
      <formula>AND($C12&lt;&gt;"",$P12="")</formula>
    </cfRule>
  </conditionalFormatting>
  <conditionalFormatting sqref="Q12:Q304">
    <cfRule type="expression" dxfId="1" priority="19">
      <formula>AND($C12&lt;&gt;"",$Q12="")</formula>
    </cfRule>
  </conditionalFormatting>
  <conditionalFormatting sqref="N12:N304">
    <cfRule type="expression" dxfId="0" priority="20">
      <formula>AND($B12&lt;&gt;"",$N12="")</formula>
    </cfRule>
  </conditionalFormatting>
  <dataValidations count="2">
    <dataValidation type="list" allowBlank="1" showInputMessage="1" showErrorMessage="1" sqref="D4:F4" xr:uid="{00000000-0002-0000-0100-000000000000}">
      <formula1>"SELECT,Lease,Rental"</formula1>
      <formula2>0</formula2>
    </dataValidation>
    <dataValidation type="list" allowBlank="1" showInputMessage="1" showErrorMessage="1" sqref="P2" xr:uid="{00000000-0002-0000-0100-000001000000}">
      <formula1>"Yes,No"</formula1>
      <formula2>0</formula2>
    </dataValidation>
  </dataValidations>
  <pageMargins left="0.7" right="0.7" top="0.75" bottom="0.75" header="0.511811023622047" footer="0.511811023622047"/>
  <pageSetup fitToHeight="0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Pict="0">
                <anchor moveWithCells="1" sizeWithCells="1">
                  <from>
                    <xdr:col>19</xdr:col>
                    <xdr:colOff>142875</xdr:colOff>
                    <xdr:row>1</xdr:row>
                    <xdr:rowOff>142875</xdr:rowOff>
                  </from>
                  <to>
                    <xdr:col>20</xdr:col>
                    <xdr:colOff>476250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1">
              <controlPr defaultSize="0" autoFill="0" autoPict="0" altText="Reset Form">
                <anchor moveWithCells="1">
                  <from>
                    <xdr:col>19</xdr:col>
                    <xdr:colOff>142875</xdr:colOff>
                    <xdr:row>1</xdr:row>
                    <xdr:rowOff>142875</xdr:rowOff>
                  </from>
                  <to>
                    <xdr:col>20</xdr:col>
                    <xdr:colOff>476250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3"/>
  <sheetViews>
    <sheetView zoomScaleNormal="100" workbookViewId="0">
      <selection activeCell="A16" sqref="A16"/>
    </sheetView>
  </sheetViews>
  <sheetFormatPr defaultColWidth="8.7109375" defaultRowHeight="15" x14ac:dyDescent="0.25"/>
  <cols>
    <col min="1" max="1" width="30.140625" customWidth="1"/>
    <col min="4" max="4" width="25.7109375" customWidth="1"/>
  </cols>
  <sheetData>
    <row r="1" spans="1:1" ht="15" customHeight="1" x14ac:dyDescent="0.25">
      <c r="A1" t="s">
        <v>1</v>
      </c>
    </row>
    <row r="2" spans="1:1" ht="15" customHeight="1" x14ac:dyDescent="0.25">
      <c r="A2" t="s">
        <v>35</v>
      </c>
    </row>
    <row r="3" spans="1:1" ht="15" customHeight="1" x14ac:dyDescent="0.25">
      <c r="A3" t="s">
        <v>36</v>
      </c>
    </row>
    <row r="4" spans="1:1" ht="15" customHeight="1" x14ac:dyDescent="0.25">
      <c r="A4" t="s">
        <v>37</v>
      </c>
    </row>
    <row r="5" spans="1:1" ht="15" customHeight="1" x14ac:dyDescent="0.25">
      <c r="A5" t="s">
        <v>38</v>
      </c>
    </row>
    <row r="6" spans="1:1" ht="15" customHeight="1" x14ac:dyDescent="0.25">
      <c r="A6" t="s">
        <v>39</v>
      </c>
    </row>
    <row r="7" spans="1:1" ht="15" customHeight="1" x14ac:dyDescent="0.25">
      <c r="A7" t="s">
        <v>40</v>
      </c>
    </row>
    <row r="8" spans="1:1" ht="15" customHeight="1" x14ac:dyDescent="0.25">
      <c r="A8" t="s">
        <v>41</v>
      </c>
    </row>
    <row r="9" spans="1:1" ht="15" customHeight="1" x14ac:dyDescent="0.25">
      <c r="A9" t="s">
        <v>42</v>
      </c>
    </row>
    <row r="10" spans="1:1" ht="15" customHeight="1" x14ac:dyDescent="0.25">
      <c r="A10" t="s">
        <v>43</v>
      </c>
    </row>
    <row r="11" spans="1:1" ht="15" customHeight="1" x14ac:dyDescent="0.25">
      <c r="A11" t="s">
        <v>44</v>
      </c>
    </row>
    <row r="12" spans="1:1" ht="15" customHeight="1" x14ac:dyDescent="0.25">
      <c r="A12" t="s">
        <v>45</v>
      </c>
    </row>
    <row r="13" spans="1:1" ht="15" customHeight="1" x14ac:dyDescent="0.25">
      <c r="A13" t="s">
        <v>46</v>
      </c>
    </row>
    <row r="14" spans="1:1" ht="15" customHeight="1" x14ac:dyDescent="0.25">
      <c r="A14" t="s">
        <v>47</v>
      </c>
    </row>
    <row r="15" spans="1:1" ht="15" customHeight="1" x14ac:dyDescent="0.25">
      <c r="A15" t="s">
        <v>48</v>
      </c>
    </row>
    <row r="16" spans="1:1" ht="15" customHeight="1" x14ac:dyDescent="0.25">
      <c r="A16" t="s">
        <v>49</v>
      </c>
    </row>
    <row r="17" spans="1:5" ht="15" customHeight="1" x14ac:dyDescent="0.25">
      <c r="A17" t="s">
        <v>50</v>
      </c>
      <c r="D17" t="s">
        <v>18</v>
      </c>
    </row>
    <row r="18" spans="1:5" ht="15" customHeight="1" x14ac:dyDescent="0.25">
      <c r="A18" t="s">
        <v>51</v>
      </c>
      <c r="B18" t="s">
        <v>52</v>
      </c>
      <c r="D18" t="s">
        <v>53</v>
      </c>
      <c r="E18" t="s">
        <v>54</v>
      </c>
    </row>
    <row r="19" spans="1:5" ht="15" customHeight="1" x14ac:dyDescent="0.25">
      <c r="A19" t="s">
        <v>55</v>
      </c>
      <c r="B19" t="s">
        <v>56</v>
      </c>
      <c r="D19" t="s">
        <v>57</v>
      </c>
      <c r="E19" t="s">
        <v>58</v>
      </c>
    </row>
    <row r="20" spans="1:5" ht="15" customHeight="1" x14ac:dyDescent="0.25">
      <c r="A20" t="s">
        <v>59</v>
      </c>
      <c r="B20" t="s">
        <v>60</v>
      </c>
      <c r="D20" t="s">
        <v>61</v>
      </c>
      <c r="E20" t="s">
        <v>62</v>
      </c>
    </row>
    <row r="21" spans="1:5" ht="15" customHeight="1" x14ac:dyDescent="0.25">
      <c r="A21" t="s">
        <v>63</v>
      </c>
      <c r="B21" t="s">
        <v>64</v>
      </c>
      <c r="D21" t="s">
        <v>65</v>
      </c>
      <c r="E21" t="s">
        <v>66</v>
      </c>
    </row>
    <row r="22" spans="1:5" ht="15" customHeight="1" x14ac:dyDescent="0.25">
      <c r="A22" t="s">
        <v>67</v>
      </c>
      <c r="B22" t="s">
        <v>68</v>
      </c>
      <c r="D22" t="s">
        <v>69</v>
      </c>
      <c r="E22" t="s">
        <v>70</v>
      </c>
    </row>
    <row r="23" spans="1:5" ht="15" customHeight="1" x14ac:dyDescent="0.25">
      <c r="A23" t="s">
        <v>71</v>
      </c>
      <c r="B23" t="s">
        <v>72</v>
      </c>
      <c r="D23" t="s">
        <v>73</v>
      </c>
    </row>
    <row r="24" spans="1:5" ht="15" customHeight="1" x14ac:dyDescent="0.25">
      <c r="A24" t="s">
        <v>74</v>
      </c>
      <c r="B24" t="s">
        <v>75</v>
      </c>
      <c r="D24" t="s">
        <v>76</v>
      </c>
    </row>
    <row r="25" spans="1:5" ht="15" customHeight="1" x14ac:dyDescent="0.25">
      <c r="A25" t="s">
        <v>77</v>
      </c>
      <c r="B25" t="s">
        <v>78</v>
      </c>
    </row>
    <row r="26" spans="1:5" ht="15" customHeight="1" x14ac:dyDescent="0.25">
      <c r="A26" t="s">
        <v>79</v>
      </c>
      <c r="B26" t="s">
        <v>80</v>
      </c>
    </row>
    <row r="27" spans="1:5" ht="15" customHeight="1" x14ac:dyDescent="0.25">
      <c r="A27" t="s">
        <v>81</v>
      </c>
      <c r="B27" t="s">
        <v>82</v>
      </c>
    </row>
    <row r="28" spans="1:5" ht="15" customHeight="1" x14ac:dyDescent="0.25">
      <c r="A28" t="s">
        <v>83</v>
      </c>
      <c r="B28" t="s">
        <v>84</v>
      </c>
    </row>
    <row r="29" spans="1:5" ht="15" customHeight="1" x14ac:dyDescent="0.25">
      <c r="A29" t="s">
        <v>85</v>
      </c>
      <c r="B29" t="s">
        <v>86</v>
      </c>
    </row>
    <row r="30" spans="1:5" ht="15" customHeight="1" x14ac:dyDescent="0.25">
      <c r="A30" t="s">
        <v>87</v>
      </c>
      <c r="B30" t="s">
        <v>88</v>
      </c>
    </row>
    <row r="31" spans="1:5" ht="15" customHeight="1" x14ac:dyDescent="0.25">
      <c r="A31" t="s">
        <v>89</v>
      </c>
      <c r="B31" t="s">
        <v>90</v>
      </c>
    </row>
    <row r="32" spans="1:5" ht="15" customHeight="1" x14ac:dyDescent="0.25">
      <c r="A32" t="s">
        <v>91</v>
      </c>
      <c r="B32" t="s">
        <v>92</v>
      </c>
    </row>
    <row r="33" spans="1:1" ht="15" customHeight="1" x14ac:dyDescent="0.25">
      <c r="A33" t="s">
        <v>93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214"/>
  <sheetViews>
    <sheetView zoomScaleNormal="100" workbookViewId="0">
      <pane ySplit="1" topLeftCell="A92" activePane="bottomLeft" state="frozen"/>
      <selection pane="bottomLeft" activeCell="E111" sqref="E111"/>
    </sheetView>
  </sheetViews>
  <sheetFormatPr defaultColWidth="18.85546875" defaultRowHeight="15" x14ac:dyDescent="0.25"/>
  <cols>
    <col min="2" max="2" width="42.85546875" customWidth="1"/>
    <col min="3" max="3" width="48.5703125" customWidth="1"/>
  </cols>
  <sheetData>
    <row r="1" spans="1:5" ht="15" customHeight="1" x14ac:dyDescent="0.25">
      <c r="A1" t="s">
        <v>94</v>
      </c>
      <c r="B1" t="s">
        <v>95</v>
      </c>
      <c r="C1" t="s">
        <v>1</v>
      </c>
      <c r="D1" t="s">
        <v>96</v>
      </c>
      <c r="E1" t="s">
        <v>97</v>
      </c>
    </row>
    <row r="2" spans="1:5" ht="15" customHeight="1" x14ac:dyDescent="0.25">
      <c r="A2">
        <v>1266</v>
      </c>
      <c r="B2" t="s">
        <v>98</v>
      </c>
      <c r="C2" t="str">
        <f t="shared" ref="C2:C65" si="0">A2&amp;" - "&amp;B2</f>
        <v>1266 - A CORE CONCRETE CUTTING INC</v>
      </c>
      <c r="E2" t="s">
        <v>99</v>
      </c>
    </row>
    <row r="3" spans="1:5" ht="15" customHeight="1" x14ac:dyDescent="0.25">
      <c r="A3">
        <v>1616</v>
      </c>
      <c r="B3" t="s">
        <v>100</v>
      </c>
      <c r="C3" t="str">
        <f t="shared" si="0"/>
        <v>1616 - A PLUS AUTOMOTIVE</v>
      </c>
    </row>
    <row r="4" spans="1:5" ht="15" customHeight="1" x14ac:dyDescent="0.25">
      <c r="A4">
        <v>1557</v>
      </c>
      <c r="B4" t="s">
        <v>101</v>
      </c>
      <c r="C4" t="str">
        <f t="shared" si="0"/>
        <v>1557 - ACE INTERMOUNTAIN RECYCLING CENTER LLC</v>
      </c>
    </row>
    <row r="5" spans="1:5" ht="15" customHeight="1" x14ac:dyDescent="0.25">
      <c r="A5">
        <v>1648</v>
      </c>
      <c r="B5" t="s">
        <v>102</v>
      </c>
      <c r="C5" t="str">
        <f t="shared" si="0"/>
        <v>1648 - ADVANCED DELIVERY SERVICE LLC</v>
      </c>
    </row>
    <row r="6" spans="1:5" ht="15" customHeight="1" x14ac:dyDescent="0.25">
      <c r="A6">
        <v>1582</v>
      </c>
      <c r="B6" t="s">
        <v>103</v>
      </c>
      <c r="C6" t="str">
        <f t="shared" si="0"/>
        <v>1582 - ADVANTAGE TRANSPORTATION</v>
      </c>
    </row>
    <row r="7" spans="1:5" ht="15" customHeight="1" x14ac:dyDescent="0.25">
      <c r="A7">
        <v>1676</v>
      </c>
      <c r="B7" t="s">
        <v>104</v>
      </c>
      <c r="C7" t="str">
        <f t="shared" si="0"/>
        <v>1676 - AG COMMODITIES LLC</v>
      </c>
    </row>
    <row r="8" spans="1:5" ht="15" customHeight="1" x14ac:dyDescent="0.25">
      <c r="A8">
        <v>1320</v>
      </c>
      <c r="B8" t="s">
        <v>105</v>
      </c>
      <c r="C8" t="str">
        <f t="shared" si="0"/>
        <v>1320 - ALLIED POTATO TRANSPORTATION</v>
      </c>
    </row>
    <row r="9" spans="1:5" ht="15" customHeight="1" x14ac:dyDescent="0.25">
      <c r="A9">
        <v>1394</v>
      </c>
      <c r="B9" t="s">
        <v>106</v>
      </c>
      <c r="C9" t="str">
        <f t="shared" si="0"/>
        <v>1394 - AMC USA LLC</v>
      </c>
    </row>
    <row r="10" spans="1:5" ht="15" customHeight="1" x14ac:dyDescent="0.25">
      <c r="A10">
        <v>1673</v>
      </c>
      <c r="B10" t="s">
        <v>107</v>
      </c>
      <c r="C10" t="str">
        <f t="shared" si="0"/>
        <v>1673 - ASAEL FARR &amp; SONS COMPANY</v>
      </c>
    </row>
    <row r="11" spans="1:5" ht="15" customHeight="1" x14ac:dyDescent="0.25">
      <c r="A11">
        <v>1496</v>
      </c>
      <c r="B11" t="s">
        <v>108</v>
      </c>
      <c r="C11" t="str">
        <f t="shared" si="0"/>
        <v>1496 - ASHDOWN TRANSPORT INC</v>
      </c>
      <c r="D11" t="s">
        <v>109</v>
      </c>
      <c r="E11" t="s">
        <v>109</v>
      </c>
    </row>
    <row r="12" spans="1:5" ht="15" customHeight="1" x14ac:dyDescent="0.25">
      <c r="A12">
        <v>1314</v>
      </c>
      <c r="B12" t="s">
        <v>110</v>
      </c>
      <c r="C12" t="str">
        <f t="shared" si="0"/>
        <v>1314 - AUTOLIV ASP INC</v>
      </c>
      <c r="E12" t="s">
        <v>99</v>
      </c>
    </row>
    <row r="13" spans="1:5" ht="15" customHeight="1" x14ac:dyDescent="0.25">
      <c r="A13">
        <v>1571</v>
      </c>
      <c r="B13" t="s">
        <v>111</v>
      </c>
      <c r="C13" t="str">
        <f t="shared" si="0"/>
        <v>1571 - B &amp; B SUPPLY INC</v>
      </c>
    </row>
    <row r="14" spans="1:5" ht="15" customHeight="1" x14ac:dyDescent="0.25">
      <c r="A14">
        <v>1352</v>
      </c>
      <c r="B14" t="s">
        <v>112</v>
      </c>
      <c r="C14" t="str">
        <f t="shared" si="0"/>
        <v>1352 - B H INC</v>
      </c>
    </row>
    <row r="15" spans="1:5" ht="15" customHeight="1" x14ac:dyDescent="0.25">
      <c r="A15">
        <v>1482</v>
      </c>
      <c r="B15" t="s">
        <v>113</v>
      </c>
      <c r="C15" t="str">
        <f t="shared" si="0"/>
        <v>1482 - B J CECIL TRUCKING INC</v>
      </c>
      <c r="D15" t="s">
        <v>109</v>
      </c>
      <c r="E15" t="s">
        <v>99</v>
      </c>
    </row>
    <row r="16" spans="1:5" ht="15" customHeight="1" x14ac:dyDescent="0.25">
      <c r="A16">
        <v>1597</v>
      </c>
      <c r="B16" t="s">
        <v>114</v>
      </c>
      <c r="C16" t="str">
        <f t="shared" si="0"/>
        <v>1597 - BARRY TRUCKING INC</v>
      </c>
    </row>
    <row r="17" spans="1:5" ht="15" customHeight="1" x14ac:dyDescent="0.25">
      <c r="A17">
        <v>1665</v>
      </c>
      <c r="B17" t="s">
        <v>115</v>
      </c>
      <c r="C17" t="str">
        <f t="shared" si="0"/>
        <v>1665 - BASIN WESTERN INC</v>
      </c>
    </row>
    <row r="18" spans="1:5" ht="15" customHeight="1" x14ac:dyDescent="0.25">
      <c r="A18">
        <v>1667</v>
      </c>
      <c r="B18" t="s">
        <v>116</v>
      </c>
      <c r="C18" t="str">
        <f t="shared" si="0"/>
        <v>1667 - BEEHIVE LOGISTICS LLC</v>
      </c>
    </row>
    <row r="19" spans="1:5" ht="15" customHeight="1" x14ac:dyDescent="0.25">
      <c r="A19">
        <v>1344</v>
      </c>
      <c r="B19" t="s">
        <v>117</v>
      </c>
      <c r="C19" t="str">
        <f t="shared" si="0"/>
        <v>1344 - BIG C FINANCE</v>
      </c>
    </row>
    <row r="20" spans="1:5" ht="15" customHeight="1" x14ac:dyDescent="0.25">
      <c r="A20">
        <v>1639</v>
      </c>
      <c r="B20" t="s">
        <v>118</v>
      </c>
      <c r="C20" t="str">
        <f t="shared" si="0"/>
        <v>1639 - BILL MONNETT CONSTRUCTION INC</v>
      </c>
    </row>
    <row r="21" spans="1:5" ht="15" customHeight="1" x14ac:dyDescent="0.25">
      <c r="A21">
        <v>1321</v>
      </c>
      <c r="B21" t="s">
        <v>119</v>
      </c>
      <c r="C21" t="str">
        <f t="shared" si="0"/>
        <v>1321 - BLAINE HARTLEY INC</v>
      </c>
    </row>
    <row r="22" spans="1:5" ht="15" customHeight="1" x14ac:dyDescent="0.25">
      <c r="A22">
        <v>393</v>
      </c>
      <c r="B22" t="s">
        <v>120</v>
      </c>
      <c r="C22" t="str">
        <f t="shared" si="0"/>
        <v>393 - BLUE HILLS TRANSPORT LLC</v>
      </c>
    </row>
    <row r="23" spans="1:5" ht="15" customHeight="1" x14ac:dyDescent="0.25">
      <c r="A23">
        <v>1556</v>
      </c>
      <c r="B23" t="s">
        <v>121</v>
      </c>
      <c r="C23" t="str">
        <f t="shared" si="0"/>
        <v>1556 - BLUE MOUNTAIN TRANSPORATION</v>
      </c>
    </row>
    <row r="24" spans="1:5" ht="15" customHeight="1" x14ac:dyDescent="0.25">
      <c r="A24">
        <v>346</v>
      </c>
      <c r="B24" t="s">
        <v>122</v>
      </c>
      <c r="C24" t="str">
        <f t="shared" si="0"/>
        <v>346 - BOISE PETERBILT INC</v>
      </c>
    </row>
    <row r="25" spans="1:5" ht="15" customHeight="1" x14ac:dyDescent="0.25">
      <c r="A25">
        <v>1680</v>
      </c>
      <c r="B25" t="s">
        <v>123</v>
      </c>
      <c r="C25" t="str">
        <f t="shared" si="0"/>
        <v>1680 - BRAVO'S LOGISTICS LLC</v>
      </c>
    </row>
    <row r="26" spans="1:5" ht="15" customHeight="1" x14ac:dyDescent="0.25">
      <c r="A26">
        <v>1316</v>
      </c>
      <c r="B26" t="s">
        <v>124</v>
      </c>
      <c r="C26" t="str">
        <f t="shared" si="0"/>
        <v>1316 - BRINKS INCORPORATED</v>
      </c>
    </row>
    <row r="27" spans="1:5" ht="15" customHeight="1" x14ac:dyDescent="0.25">
      <c r="A27">
        <v>1514</v>
      </c>
      <c r="B27" t="s">
        <v>125</v>
      </c>
      <c r="C27" t="str">
        <f t="shared" si="0"/>
        <v>1514 - BRODY CHEMICAL COMPANY INC</v>
      </c>
      <c r="D27" t="s">
        <v>109</v>
      </c>
      <c r="E27" t="s">
        <v>109</v>
      </c>
    </row>
    <row r="28" spans="1:5" ht="15" customHeight="1" x14ac:dyDescent="0.25">
      <c r="A28">
        <v>1243</v>
      </c>
      <c r="B28" t="s">
        <v>126</v>
      </c>
      <c r="C28" t="str">
        <f t="shared" si="0"/>
        <v>1243 - BROWN STRAUSS STEEL</v>
      </c>
    </row>
    <row r="29" spans="1:5" ht="15" customHeight="1" x14ac:dyDescent="0.25">
      <c r="A29">
        <v>1333</v>
      </c>
      <c r="B29" t="s">
        <v>127</v>
      </c>
      <c r="C29" t="str">
        <f t="shared" si="0"/>
        <v>1333 - C &amp; H DISTRIBUTING CO INC</v>
      </c>
    </row>
    <row r="30" spans="1:5" ht="15" customHeight="1" x14ac:dyDescent="0.25">
      <c r="A30">
        <v>1681</v>
      </c>
      <c r="B30" t="s">
        <v>128</v>
      </c>
      <c r="C30" t="str">
        <f t="shared" si="0"/>
        <v>1681 - CACHE VALLEY ELECTRIC COMPANY</v>
      </c>
    </row>
    <row r="31" spans="1:5" ht="15" customHeight="1" x14ac:dyDescent="0.25">
      <c r="A31">
        <v>1293</v>
      </c>
      <c r="B31" t="s">
        <v>129</v>
      </c>
      <c r="C31" t="str">
        <f t="shared" si="0"/>
        <v>1293 - CALL'S BEAR RIVER TRUCKING</v>
      </c>
      <c r="D31" t="s">
        <v>109</v>
      </c>
      <c r="E31" t="s">
        <v>109</v>
      </c>
    </row>
    <row r="32" spans="1:5" ht="15" customHeight="1" x14ac:dyDescent="0.25">
      <c r="A32">
        <v>1238</v>
      </c>
      <c r="B32" t="s">
        <v>130</v>
      </c>
      <c r="C32" t="str">
        <f t="shared" si="0"/>
        <v>1238 - CAVRAG EXPRESS INC</v>
      </c>
      <c r="D32" t="s">
        <v>73</v>
      </c>
    </row>
    <row r="33" spans="1:5" ht="15" customHeight="1" x14ac:dyDescent="0.25">
      <c r="A33">
        <v>1473</v>
      </c>
      <c r="B33" t="s">
        <v>131</v>
      </c>
      <c r="C33" t="str">
        <f t="shared" si="0"/>
        <v>1473 - CHAD PORTER ENTERPRISES LLC</v>
      </c>
      <c r="D33" t="s">
        <v>109</v>
      </c>
      <c r="E33" t="s">
        <v>109</v>
      </c>
    </row>
    <row r="34" spans="1:5" ht="15" customHeight="1" x14ac:dyDescent="0.25">
      <c r="A34">
        <v>392</v>
      </c>
      <c r="B34" t="s">
        <v>132</v>
      </c>
      <c r="C34" t="str">
        <f t="shared" si="0"/>
        <v>392 - CHALLENGER PALLET &amp; SUPPLY INC</v>
      </c>
    </row>
    <row r="35" spans="1:5" ht="15" customHeight="1" x14ac:dyDescent="0.25">
      <c r="A35">
        <v>1510</v>
      </c>
      <c r="B35" t="s">
        <v>133</v>
      </c>
      <c r="C35" t="str">
        <f t="shared" si="0"/>
        <v>1510 - CITY CENTER SOUND AND STAGE</v>
      </c>
      <c r="D35" t="s">
        <v>109</v>
      </c>
      <c r="E35" t="s">
        <v>109</v>
      </c>
    </row>
    <row r="36" spans="1:5" ht="15" customHeight="1" x14ac:dyDescent="0.25">
      <c r="A36">
        <v>1686</v>
      </c>
      <c r="B36" t="s">
        <v>134</v>
      </c>
      <c r="C36" t="str">
        <f t="shared" si="0"/>
        <v>1686 - COMPASS MINERALS</v>
      </c>
    </row>
    <row r="37" spans="1:5" ht="15" customHeight="1" x14ac:dyDescent="0.25">
      <c r="A37">
        <v>1688</v>
      </c>
      <c r="B37" t="s">
        <v>135</v>
      </c>
      <c r="C37" t="str">
        <f t="shared" si="0"/>
        <v>1688 - CONCORDE REFRIGERATED</v>
      </c>
    </row>
    <row r="38" spans="1:5" ht="15" customHeight="1" x14ac:dyDescent="0.25">
      <c r="A38">
        <v>1679</v>
      </c>
      <c r="B38" t="s">
        <v>136</v>
      </c>
      <c r="C38" t="str">
        <f t="shared" si="0"/>
        <v>1679 - CONDIE CONSTRUCTION COMPANY INC</v>
      </c>
    </row>
    <row r="39" spans="1:5" ht="15" customHeight="1" x14ac:dyDescent="0.25">
      <c r="A39">
        <v>1328</v>
      </c>
      <c r="B39" t="s">
        <v>137</v>
      </c>
      <c r="C39" t="str">
        <f t="shared" si="0"/>
        <v>1328 - CONSERVANCY OIL CO OF GJ INC</v>
      </c>
    </row>
    <row r="40" spans="1:5" ht="15" customHeight="1" x14ac:dyDescent="0.25">
      <c r="A40">
        <v>1604</v>
      </c>
      <c r="B40" t="s">
        <v>138</v>
      </c>
      <c r="C40" t="str">
        <f t="shared" si="0"/>
        <v>1604 - CONSOLIDATED ELECTRICAL DISTRIBUTORS INC</v>
      </c>
    </row>
    <row r="41" spans="1:5" ht="15" customHeight="1" x14ac:dyDescent="0.25">
      <c r="A41">
        <v>425</v>
      </c>
      <c r="B41" t="s">
        <v>139</v>
      </c>
      <c r="C41" t="str">
        <f t="shared" si="0"/>
        <v>425 - CONSOLIDATED SUPPLY</v>
      </c>
    </row>
    <row r="42" spans="1:5" ht="15" customHeight="1" x14ac:dyDescent="0.25">
      <c r="A42">
        <v>1660</v>
      </c>
      <c r="B42" t="s">
        <v>140</v>
      </c>
      <c r="C42" t="str">
        <f t="shared" si="0"/>
        <v>1660 - CONTAINER TRANSFER CORPORATION</v>
      </c>
    </row>
    <row r="43" spans="1:5" ht="15" customHeight="1" x14ac:dyDescent="0.25">
      <c r="A43">
        <v>427</v>
      </c>
      <c r="B43" t="s">
        <v>141</v>
      </c>
      <c r="C43" t="str">
        <f t="shared" si="0"/>
        <v>427 - CONTEMPO CERAMIC TILE</v>
      </c>
    </row>
    <row r="44" spans="1:5" ht="15" customHeight="1" x14ac:dyDescent="0.25">
      <c r="A44">
        <v>1678</v>
      </c>
      <c r="B44" t="s">
        <v>142</v>
      </c>
      <c r="C44" t="str">
        <f t="shared" si="0"/>
        <v>1678 - COPELAND TRUCKING INC</v>
      </c>
    </row>
    <row r="45" spans="1:5" ht="15" customHeight="1" x14ac:dyDescent="0.25">
      <c r="A45">
        <v>1522</v>
      </c>
      <c r="B45" t="s">
        <v>143</v>
      </c>
      <c r="C45" t="str">
        <f t="shared" si="0"/>
        <v>1522 - COWAN SYSTEMS LLC</v>
      </c>
      <c r="D45" t="s">
        <v>109</v>
      </c>
      <c r="E45" t="s">
        <v>99</v>
      </c>
    </row>
    <row r="46" spans="1:5" ht="15" customHeight="1" x14ac:dyDescent="0.25">
      <c r="A46">
        <v>1546</v>
      </c>
      <c r="B46" t="s">
        <v>144</v>
      </c>
      <c r="C46" t="str">
        <f t="shared" si="0"/>
        <v>1546 - COWBOY EXPRESS LLC</v>
      </c>
    </row>
    <row r="47" spans="1:5" ht="15" customHeight="1" x14ac:dyDescent="0.25">
      <c r="A47">
        <v>1671</v>
      </c>
      <c r="B47" t="s">
        <v>145</v>
      </c>
      <c r="C47" t="str">
        <f t="shared" si="0"/>
        <v>1671 - CP &amp; R TRANSPORT LLC</v>
      </c>
    </row>
    <row r="48" spans="1:5" ht="15" customHeight="1" x14ac:dyDescent="0.25">
      <c r="A48">
        <v>438</v>
      </c>
      <c r="B48" t="s">
        <v>146</v>
      </c>
      <c r="C48" t="str">
        <f t="shared" si="0"/>
        <v>438 - CRUS INVESTMENT LLC</v>
      </c>
    </row>
    <row r="49" spans="1:5" ht="15" customHeight="1" x14ac:dyDescent="0.25">
      <c r="A49">
        <v>1645</v>
      </c>
      <c r="B49" t="s">
        <v>147</v>
      </c>
      <c r="C49" t="str">
        <f t="shared" si="0"/>
        <v>1645 - D &amp; L SUPPLY</v>
      </c>
    </row>
    <row r="50" spans="1:5" ht="15" customHeight="1" x14ac:dyDescent="0.25">
      <c r="A50">
        <v>1634</v>
      </c>
      <c r="B50" t="s">
        <v>148</v>
      </c>
      <c r="C50" t="str">
        <f t="shared" si="0"/>
        <v>1634 - DAVID MILLER &amp; SONS INC</v>
      </c>
    </row>
    <row r="51" spans="1:5" ht="15" customHeight="1" x14ac:dyDescent="0.25">
      <c r="A51">
        <v>1658</v>
      </c>
      <c r="B51" t="s">
        <v>149</v>
      </c>
      <c r="C51" t="str">
        <f t="shared" si="0"/>
        <v>1658 - DAY ONE LOGISTICS LLC</v>
      </c>
    </row>
    <row r="52" spans="1:5" ht="15" customHeight="1" x14ac:dyDescent="0.25">
      <c r="A52">
        <v>1663</v>
      </c>
      <c r="B52" t="s">
        <v>150</v>
      </c>
      <c r="C52" t="str">
        <f t="shared" si="0"/>
        <v>1663 - DD &amp; S EXPRESS INC</v>
      </c>
    </row>
    <row r="53" spans="1:5" ht="15" customHeight="1" x14ac:dyDescent="0.25">
      <c r="A53">
        <v>1308</v>
      </c>
      <c r="B53" t="s">
        <v>151</v>
      </c>
      <c r="C53" t="str">
        <f t="shared" si="0"/>
        <v>1308 - DONS FROZEN EXPRESS INC</v>
      </c>
    </row>
    <row r="54" spans="1:5" ht="15" customHeight="1" x14ac:dyDescent="0.25">
      <c r="A54">
        <v>1637</v>
      </c>
      <c r="B54" t="s">
        <v>152</v>
      </c>
      <c r="C54" t="str">
        <f t="shared" si="0"/>
        <v>1637 - DSU PETERBILT &amp; GMC INC</v>
      </c>
    </row>
    <row r="55" spans="1:5" ht="15" customHeight="1" x14ac:dyDescent="0.25">
      <c r="A55">
        <v>1520</v>
      </c>
      <c r="B55" t="s">
        <v>153</v>
      </c>
      <c r="C55" t="str">
        <f t="shared" si="0"/>
        <v>1520 - ELEVATION TRANSPORT</v>
      </c>
      <c r="D55" t="s">
        <v>109</v>
      </c>
      <c r="E55" t="s">
        <v>99</v>
      </c>
    </row>
    <row r="56" spans="1:5" ht="15" customHeight="1" x14ac:dyDescent="0.25">
      <c r="A56">
        <v>1625</v>
      </c>
      <c r="B56" t="s">
        <v>154</v>
      </c>
      <c r="C56" t="str">
        <f t="shared" si="0"/>
        <v>1625 - ELIASON RANCH TRUCKING</v>
      </c>
    </row>
    <row r="57" spans="1:5" ht="15" customHeight="1" x14ac:dyDescent="0.25">
      <c r="A57">
        <v>1687</v>
      </c>
      <c r="B57" t="s">
        <v>155</v>
      </c>
      <c r="C57" t="str">
        <f t="shared" si="0"/>
        <v>1687 - ELLIS DUDIS GRINDING ENTERPRISES LLC</v>
      </c>
    </row>
    <row r="58" spans="1:5" ht="15" customHeight="1" x14ac:dyDescent="0.25">
      <c r="A58">
        <v>1487</v>
      </c>
      <c r="B58" t="s">
        <v>156</v>
      </c>
      <c r="C58" t="str">
        <f t="shared" si="0"/>
        <v>1487 - EMH TRANSPORTATION LLC</v>
      </c>
      <c r="D58" t="s">
        <v>109</v>
      </c>
      <c r="E58" t="s">
        <v>109</v>
      </c>
    </row>
    <row r="59" spans="1:5" ht="15" customHeight="1" x14ac:dyDescent="0.25">
      <c r="A59">
        <v>1629</v>
      </c>
      <c r="B59" t="s">
        <v>157</v>
      </c>
      <c r="C59" t="str">
        <f t="shared" si="0"/>
        <v>1629 - ENERGY ENTERPRISES INC</v>
      </c>
    </row>
    <row r="60" spans="1:5" ht="15" customHeight="1" x14ac:dyDescent="0.25">
      <c r="A60">
        <v>1647</v>
      </c>
      <c r="B60" t="s">
        <v>158</v>
      </c>
      <c r="C60" t="str">
        <f t="shared" si="0"/>
        <v>1647 - ENVIRO CARE INC</v>
      </c>
    </row>
    <row r="61" spans="1:5" ht="15" customHeight="1" x14ac:dyDescent="0.25">
      <c r="A61">
        <v>1402</v>
      </c>
      <c r="B61" t="s">
        <v>159</v>
      </c>
      <c r="C61" t="str">
        <f t="shared" si="0"/>
        <v>1402 - EXEL INC DBA DHL SUPPLY CHAIN</v>
      </c>
    </row>
    <row r="62" spans="1:5" ht="15" customHeight="1" x14ac:dyDescent="0.25">
      <c r="A62">
        <v>1684</v>
      </c>
      <c r="B62" t="s">
        <v>160</v>
      </c>
      <c r="C62" t="str">
        <f t="shared" si="0"/>
        <v>1684 - FIREFLY AUTOMATIX INC</v>
      </c>
    </row>
    <row r="63" spans="1:5" ht="15" customHeight="1" x14ac:dyDescent="0.25">
      <c r="A63">
        <v>1306</v>
      </c>
      <c r="B63" t="s">
        <v>161</v>
      </c>
      <c r="C63" t="str">
        <f t="shared" si="0"/>
        <v>1306 - FLEXPAK INC</v>
      </c>
    </row>
    <row r="64" spans="1:5" ht="15" customHeight="1" x14ac:dyDescent="0.25">
      <c r="A64">
        <v>1620</v>
      </c>
      <c r="B64" t="s">
        <v>162</v>
      </c>
      <c r="C64" t="str">
        <f t="shared" si="0"/>
        <v>1620 - FMI TRANSPORTATION LLC</v>
      </c>
    </row>
    <row r="65" spans="1:5" ht="15" customHeight="1" x14ac:dyDescent="0.25">
      <c r="A65">
        <v>1390</v>
      </c>
      <c r="B65" t="s">
        <v>163</v>
      </c>
      <c r="C65" t="str">
        <f t="shared" si="0"/>
        <v>1390 - FOOD EXPRESS INC</v>
      </c>
    </row>
    <row r="66" spans="1:5" ht="15" customHeight="1" x14ac:dyDescent="0.25">
      <c r="A66">
        <v>1532</v>
      </c>
      <c r="B66" t="s">
        <v>164</v>
      </c>
      <c r="C66" t="str">
        <f t="shared" ref="C66:C129" si="1">A66&amp;" - "&amp;B66</f>
        <v>1532 - FOREST PRODUCTS SALES INC</v>
      </c>
    </row>
    <row r="67" spans="1:5" ht="15" customHeight="1" x14ac:dyDescent="0.25">
      <c r="A67">
        <v>1259</v>
      </c>
      <c r="B67" t="s">
        <v>165</v>
      </c>
      <c r="C67" t="str">
        <f t="shared" si="1"/>
        <v>1259 - FRANDSEN TRANSPORT LLC</v>
      </c>
    </row>
    <row r="68" spans="1:5" ht="15" customHeight="1" x14ac:dyDescent="0.25">
      <c r="A68">
        <v>1369</v>
      </c>
      <c r="B68" t="s">
        <v>166</v>
      </c>
      <c r="C68" t="str">
        <f t="shared" si="1"/>
        <v>1369 - FRESENIUS MEDICAL DISTRIBUTION</v>
      </c>
      <c r="E68" t="s">
        <v>109</v>
      </c>
    </row>
    <row r="69" spans="1:5" ht="15" customHeight="1" x14ac:dyDescent="0.25">
      <c r="A69">
        <v>1608</v>
      </c>
      <c r="B69" t="s">
        <v>167</v>
      </c>
      <c r="C69" t="str">
        <f t="shared" si="1"/>
        <v>1608 - G &amp; S SALES INC</v>
      </c>
    </row>
    <row r="70" spans="1:5" ht="15" customHeight="1" x14ac:dyDescent="0.25">
      <c r="A70">
        <v>1437</v>
      </c>
      <c r="B70" t="s">
        <v>168</v>
      </c>
      <c r="C70" t="str">
        <f t="shared" si="1"/>
        <v>1437 - GENERAL DISTRIBUTING CO</v>
      </c>
    </row>
    <row r="71" spans="1:5" ht="15" customHeight="1" x14ac:dyDescent="0.25">
      <c r="A71">
        <v>1431</v>
      </c>
      <c r="B71" t="s">
        <v>169</v>
      </c>
      <c r="C71" t="str">
        <f t="shared" si="1"/>
        <v>1431 - GLOBAL HEALTH INDUSTRIES</v>
      </c>
    </row>
    <row r="72" spans="1:5" ht="15" customHeight="1" x14ac:dyDescent="0.25">
      <c r="A72">
        <v>1447</v>
      </c>
      <c r="B72" t="s">
        <v>170</v>
      </c>
      <c r="C72" t="str">
        <f t="shared" si="1"/>
        <v>1447 - GOLDEN GATE PETROLEUM</v>
      </c>
      <c r="E72" t="s">
        <v>109</v>
      </c>
    </row>
    <row r="73" spans="1:5" ht="15" customHeight="1" x14ac:dyDescent="0.25">
      <c r="A73">
        <v>528</v>
      </c>
      <c r="B73" t="s">
        <v>171</v>
      </c>
      <c r="C73" t="str">
        <f t="shared" si="1"/>
        <v>528 - GRAND JUNCTION PETERBIL</v>
      </c>
    </row>
    <row r="74" spans="1:5" ht="15" customHeight="1" x14ac:dyDescent="0.25">
      <c r="A74">
        <v>1611</v>
      </c>
      <c r="B74" t="s">
        <v>172</v>
      </c>
      <c r="C74" t="str">
        <f t="shared" si="1"/>
        <v>1611 - GREG ABRAMS SEAFOOD INC</v>
      </c>
    </row>
    <row r="75" spans="1:5" ht="15" customHeight="1" x14ac:dyDescent="0.25">
      <c r="A75">
        <v>1529</v>
      </c>
      <c r="B75" t="s">
        <v>173</v>
      </c>
      <c r="C75" t="str">
        <f t="shared" si="1"/>
        <v>1529 - G'S LOGISTICS INC</v>
      </c>
      <c r="D75" t="s">
        <v>109</v>
      </c>
      <c r="E75" t="s">
        <v>109</v>
      </c>
    </row>
    <row r="76" spans="1:5" ht="15" customHeight="1" x14ac:dyDescent="0.25">
      <c r="A76">
        <v>1595</v>
      </c>
      <c r="B76" t="s">
        <v>174</v>
      </c>
      <c r="C76" t="str">
        <f t="shared" si="1"/>
        <v>1595 - GURNEY TRUCKING INC</v>
      </c>
    </row>
    <row r="77" spans="1:5" ht="15" customHeight="1" x14ac:dyDescent="0.25">
      <c r="A77">
        <v>1672</v>
      </c>
      <c r="B77" t="s">
        <v>175</v>
      </c>
      <c r="C77" t="str">
        <f t="shared" si="1"/>
        <v>1672 - HAULIN ASS-PHALT LLC</v>
      </c>
    </row>
    <row r="78" spans="1:5" ht="15" customHeight="1" x14ac:dyDescent="0.25">
      <c r="A78">
        <v>1599</v>
      </c>
      <c r="B78" t="s">
        <v>176</v>
      </c>
      <c r="C78" t="str">
        <f t="shared" si="1"/>
        <v>1599 - HIGHWAY TRANSIT LLC</v>
      </c>
    </row>
    <row r="79" spans="1:5" ht="15" customHeight="1" x14ac:dyDescent="0.25">
      <c r="A79">
        <v>1603</v>
      </c>
      <c r="B79" t="s">
        <v>177</v>
      </c>
      <c r="C79" t="str">
        <f t="shared" si="1"/>
        <v>1603 - HILL BROTHERS CHEMICAL</v>
      </c>
    </row>
    <row r="80" spans="1:5" ht="15" customHeight="1" x14ac:dyDescent="0.25">
      <c r="A80">
        <v>1618</v>
      </c>
      <c r="B80" t="s">
        <v>178</v>
      </c>
      <c r="C80" t="str">
        <f t="shared" si="1"/>
        <v>1618 - HILLSIDE FLORAL</v>
      </c>
    </row>
    <row r="81" spans="1:5" ht="15" customHeight="1" x14ac:dyDescent="0.25">
      <c r="A81">
        <v>1584</v>
      </c>
      <c r="B81" t="s">
        <v>179</v>
      </c>
      <c r="C81" t="str">
        <f t="shared" si="1"/>
        <v>1584 - HORSELESS CARRIAGE CARRIERS INC</v>
      </c>
    </row>
    <row r="82" spans="1:5" ht="15" customHeight="1" x14ac:dyDescent="0.25">
      <c r="A82">
        <v>1661</v>
      </c>
      <c r="B82" t="s">
        <v>180</v>
      </c>
      <c r="C82" t="str">
        <f t="shared" si="1"/>
        <v>1661 - HUNT &amp; SONS INC</v>
      </c>
    </row>
    <row r="83" spans="1:5" ht="15" customHeight="1" x14ac:dyDescent="0.25">
      <c r="A83">
        <v>556</v>
      </c>
      <c r="B83" t="s">
        <v>181</v>
      </c>
      <c r="C83" t="str">
        <f t="shared" si="1"/>
        <v>556 - IDAHO FALLS PETERBILT</v>
      </c>
    </row>
    <row r="84" spans="1:5" ht="15" customHeight="1" x14ac:dyDescent="0.25">
      <c r="A84">
        <v>573</v>
      </c>
      <c r="B84" t="s">
        <v>182</v>
      </c>
      <c r="C84" t="str">
        <f t="shared" si="1"/>
        <v>573 - IDAHO PACKAGE COMPANY INC</v>
      </c>
    </row>
    <row r="85" spans="1:5" ht="15" customHeight="1" x14ac:dyDescent="0.25">
      <c r="A85">
        <v>1418</v>
      </c>
      <c r="B85" t="s">
        <v>183</v>
      </c>
      <c r="C85" t="str">
        <f t="shared" si="1"/>
        <v>1418 - IDAHO TRUCK LINES INC</v>
      </c>
    </row>
    <row r="86" spans="1:5" ht="15" customHeight="1" x14ac:dyDescent="0.25">
      <c r="A86">
        <v>1642</v>
      </c>
      <c r="B86" t="s">
        <v>184</v>
      </c>
      <c r="C86" t="str">
        <f t="shared" si="1"/>
        <v>1642 - IMAN TRANSPORT LLC</v>
      </c>
    </row>
    <row r="87" spans="1:5" ht="15" customHeight="1" x14ac:dyDescent="0.25">
      <c r="A87">
        <v>1231</v>
      </c>
      <c r="B87" t="s">
        <v>185</v>
      </c>
      <c r="C87" t="str">
        <f t="shared" si="1"/>
        <v>1231 - IMX TRANSPORT</v>
      </c>
    </row>
    <row r="88" spans="1:5" ht="15" customHeight="1" x14ac:dyDescent="0.25">
      <c r="A88">
        <v>1641</v>
      </c>
      <c r="B88" t="s">
        <v>186</v>
      </c>
      <c r="C88" t="str">
        <f t="shared" si="1"/>
        <v>1641 - INTERIOR SPECIALTIES INC</v>
      </c>
    </row>
    <row r="89" spans="1:5" ht="15" customHeight="1" x14ac:dyDescent="0.25">
      <c r="A89">
        <v>570</v>
      </c>
      <c r="B89" t="s">
        <v>187</v>
      </c>
      <c r="C89" t="str">
        <f t="shared" si="1"/>
        <v>570 - INTERNAL USED TRUCKS</v>
      </c>
    </row>
    <row r="90" spans="1:5" ht="15" customHeight="1" x14ac:dyDescent="0.25">
      <c r="A90">
        <v>1378</v>
      </c>
      <c r="B90" t="s">
        <v>188</v>
      </c>
      <c r="C90" t="str">
        <f t="shared" si="1"/>
        <v>1378 - INTER-STATE OIL CO</v>
      </c>
    </row>
    <row r="91" spans="1:5" ht="15" customHeight="1" x14ac:dyDescent="0.25">
      <c r="A91">
        <v>1564</v>
      </c>
      <c r="B91" t="s">
        <v>189</v>
      </c>
      <c r="C91" t="str">
        <f t="shared" si="1"/>
        <v>1564 - IRVINE ENTERPRISES LLC</v>
      </c>
    </row>
    <row r="92" spans="1:5" ht="15" customHeight="1" x14ac:dyDescent="0.25">
      <c r="A92">
        <v>1623</v>
      </c>
      <c r="B92" t="s">
        <v>190</v>
      </c>
      <c r="C92" t="str">
        <f t="shared" si="1"/>
        <v>1623 - JADEN TRANSPORT INC</v>
      </c>
    </row>
    <row r="93" spans="1:5" ht="15" customHeight="1" x14ac:dyDescent="0.25">
      <c r="A93">
        <v>1606</v>
      </c>
      <c r="B93" t="s">
        <v>191</v>
      </c>
      <c r="C93" t="str">
        <f t="shared" si="1"/>
        <v>1606 - JASON GREENWAY TRUCKING</v>
      </c>
    </row>
    <row r="94" spans="1:5" ht="15" customHeight="1" x14ac:dyDescent="0.25">
      <c r="A94">
        <v>1601</v>
      </c>
      <c r="B94" t="s">
        <v>192</v>
      </c>
      <c r="C94" t="str">
        <f t="shared" si="1"/>
        <v>1601 - JENKS EXPRESS TRANSPORT LLC</v>
      </c>
    </row>
    <row r="95" spans="1:5" ht="15" customHeight="1" x14ac:dyDescent="0.25">
      <c r="A95">
        <v>584</v>
      </c>
      <c r="B95" t="s">
        <v>193</v>
      </c>
      <c r="C95" t="str">
        <f t="shared" si="1"/>
        <v>584 - JEROME PETERBILT</v>
      </c>
    </row>
    <row r="96" spans="1:5" ht="15" customHeight="1" x14ac:dyDescent="0.25">
      <c r="A96">
        <v>1512</v>
      </c>
      <c r="B96" t="s">
        <v>194</v>
      </c>
      <c r="C96" t="str">
        <f t="shared" si="1"/>
        <v>1512 - JOHANSEN CONSTRUCTION INC</v>
      </c>
      <c r="D96" t="s">
        <v>109</v>
      </c>
      <c r="E96" t="s">
        <v>109</v>
      </c>
    </row>
    <row r="97" spans="1:5" ht="15" customHeight="1" x14ac:dyDescent="0.25">
      <c r="A97">
        <v>1233</v>
      </c>
      <c r="B97" t="s">
        <v>195</v>
      </c>
      <c r="C97" t="str">
        <f t="shared" si="1"/>
        <v>1233 - KARL MAJORS LLC</v>
      </c>
    </row>
    <row r="98" spans="1:5" ht="15" customHeight="1" x14ac:dyDescent="0.25">
      <c r="A98">
        <v>1475</v>
      </c>
      <c r="B98" t="s">
        <v>196</v>
      </c>
      <c r="C98" t="str">
        <f t="shared" si="1"/>
        <v>1475 - KENAN</v>
      </c>
      <c r="D98" t="s">
        <v>109</v>
      </c>
      <c r="E98" t="s">
        <v>99</v>
      </c>
    </row>
    <row r="99" spans="1:5" ht="15" customHeight="1" x14ac:dyDescent="0.25">
      <c r="A99">
        <v>1593</v>
      </c>
      <c r="B99" t="s">
        <v>197</v>
      </c>
      <c r="C99" t="str">
        <f t="shared" si="1"/>
        <v>1593 - KFORCE EXPRESS INC</v>
      </c>
    </row>
    <row r="100" spans="1:5" ht="15" customHeight="1" x14ac:dyDescent="0.25">
      <c r="A100">
        <v>616</v>
      </c>
      <c r="B100" t="s">
        <v>198</v>
      </c>
      <c r="C100" t="str">
        <f t="shared" si="1"/>
        <v>616 - KING FARMS TRUCKING LLC</v>
      </c>
    </row>
    <row r="101" spans="1:5" ht="15" customHeight="1" x14ac:dyDescent="0.25">
      <c r="A101">
        <v>1685</v>
      </c>
      <c r="B101" t="s">
        <v>199</v>
      </c>
      <c r="C101" t="str">
        <f t="shared" si="1"/>
        <v>1685 - KITCO LLC</v>
      </c>
    </row>
    <row r="102" spans="1:5" ht="15" customHeight="1" x14ac:dyDescent="0.25">
      <c r="A102">
        <v>1619</v>
      </c>
      <c r="B102" t="s">
        <v>200</v>
      </c>
      <c r="C102" t="str">
        <f t="shared" si="1"/>
        <v>1619 - KNOX TRANSPORTATION SERVICES LLC</v>
      </c>
    </row>
    <row r="103" spans="1:5" ht="15" customHeight="1" x14ac:dyDescent="0.25">
      <c r="A103">
        <v>1605</v>
      </c>
      <c r="B103" t="s">
        <v>201</v>
      </c>
      <c r="C103" t="str">
        <f t="shared" si="1"/>
        <v>1605 - KW DANE TRANSPORT LTD</v>
      </c>
    </row>
    <row r="104" spans="1:5" ht="15" customHeight="1" x14ac:dyDescent="0.25">
      <c r="A104">
        <v>1269</v>
      </c>
      <c r="B104" t="s">
        <v>202</v>
      </c>
      <c r="C104" t="str">
        <f t="shared" si="1"/>
        <v>1269 - L W MILLER TRANSPORTATION HOLDINGS INC</v>
      </c>
    </row>
    <row r="105" spans="1:5" ht="15" customHeight="1" x14ac:dyDescent="0.25">
      <c r="A105">
        <v>1452</v>
      </c>
      <c r="B105" t="s">
        <v>203</v>
      </c>
      <c r="C105" t="str">
        <f t="shared" si="1"/>
        <v>1452 - LAND VIEW INC</v>
      </c>
    </row>
    <row r="106" spans="1:5" ht="15" customHeight="1" x14ac:dyDescent="0.25">
      <c r="A106">
        <v>1638</v>
      </c>
      <c r="B106" t="s">
        <v>204</v>
      </c>
      <c r="C106" t="str">
        <f t="shared" si="1"/>
        <v>1638 - LANDMARK TRUCKING LLC</v>
      </c>
    </row>
    <row r="107" spans="1:5" ht="15" customHeight="1" x14ac:dyDescent="0.25">
      <c r="A107">
        <v>1677</v>
      </c>
      <c r="B107" t="s">
        <v>205</v>
      </c>
      <c r="C107" t="str">
        <f t="shared" si="1"/>
        <v>1677 - LANG'S TRANSPORT INC</v>
      </c>
    </row>
    <row r="108" spans="1:5" ht="15" customHeight="1" x14ac:dyDescent="0.25">
      <c r="A108">
        <v>1301</v>
      </c>
      <c r="B108" t="s">
        <v>206</v>
      </c>
      <c r="C108" t="str">
        <f t="shared" si="1"/>
        <v>1301 - LAYTON CONSTRUCTION CO INC</v>
      </c>
    </row>
    <row r="109" spans="1:5" ht="15" customHeight="1" x14ac:dyDescent="0.25">
      <c r="A109">
        <v>1577</v>
      </c>
      <c r="B109" t="s">
        <v>207</v>
      </c>
      <c r="C109" t="str">
        <f t="shared" si="1"/>
        <v>1577 - LEFAVOR ENVELOPE CO</v>
      </c>
    </row>
    <row r="110" spans="1:5" ht="15" customHeight="1" x14ac:dyDescent="0.25">
      <c r="A110">
        <v>1381</v>
      </c>
      <c r="B110" t="s">
        <v>208</v>
      </c>
      <c r="C110" t="str">
        <f t="shared" si="1"/>
        <v>1381 - LIBERTY PRESS TRANSPORT LLC</v>
      </c>
    </row>
    <row r="111" spans="1:5" ht="15" customHeight="1" x14ac:dyDescent="0.25">
      <c r="A111">
        <v>1372</v>
      </c>
      <c r="B111" t="s">
        <v>209</v>
      </c>
      <c r="C111" t="str">
        <f t="shared" si="1"/>
        <v>1372 - LIBERTY TIRE SERVICES OF OHIO LLC</v>
      </c>
      <c r="E111" t="s">
        <v>99</v>
      </c>
    </row>
    <row r="112" spans="1:5" ht="15" customHeight="1" x14ac:dyDescent="0.25">
      <c r="A112">
        <v>1622</v>
      </c>
      <c r="B112" t="s">
        <v>210</v>
      </c>
      <c r="C112" t="str">
        <f t="shared" si="1"/>
        <v>1622 - LINK ONE POTATO SOLUTIONS LLC</v>
      </c>
    </row>
    <row r="113" spans="1:5" ht="15" customHeight="1" x14ac:dyDescent="0.25">
      <c r="A113">
        <v>1664</v>
      </c>
      <c r="B113" t="s">
        <v>211</v>
      </c>
      <c r="C113" t="str">
        <f t="shared" si="1"/>
        <v>1664 - LITTLE BRITCHES TRANSPORTATION INC</v>
      </c>
    </row>
    <row r="114" spans="1:5" ht="15" customHeight="1" x14ac:dyDescent="0.25">
      <c r="A114">
        <v>1439</v>
      </c>
      <c r="B114" t="s">
        <v>212</v>
      </c>
      <c r="C114" t="str">
        <f t="shared" si="1"/>
        <v>1439 - M E I RIGGING &amp; CRATING LLC</v>
      </c>
    </row>
    <row r="115" spans="1:5" ht="15" customHeight="1" x14ac:dyDescent="0.25">
      <c r="A115">
        <v>1602</v>
      </c>
      <c r="B115" t="s">
        <v>213</v>
      </c>
      <c r="C115" t="str">
        <f t="shared" si="1"/>
        <v>1602 - M PYNE CUSTOM HAULING</v>
      </c>
    </row>
    <row r="116" spans="1:5" ht="15" customHeight="1" x14ac:dyDescent="0.25">
      <c r="A116">
        <v>1591</v>
      </c>
      <c r="B116" t="s">
        <v>214</v>
      </c>
      <c r="C116" t="str">
        <f t="shared" si="1"/>
        <v>1591 - MARQUEZ TRUCKING LLC</v>
      </c>
    </row>
    <row r="117" spans="1:5" ht="15" customHeight="1" x14ac:dyDescent="0.25">
      <c r="A117">
        <v>693</v>
      </c>
      <c r="B117" t="s">
        <v>215</v>
      </c>
      <c r="C117" t="str">
        <f t="shared" si="1"/>
        <v>693 - MAXAM US LLC</v>
      </c>
    </row>
    <row r="118" spans="1:5" ht="15" customHeight="1" x14ac:dyDescent="0.25">
      <c r="A118">
        <v>1568</v>
      </c>
      <c r="B118" t="s">
        <v>216</v>
      </c>
      <c r="C118" t="str">
        <f t="shared" si="1"/>
        <v>1568 - MAXFIELD TRUCKING INC</v>
      </c>
    </row>
    <row r="119" spans="1:5" ht="15" customHeight="1" x14ac:dyDescent="0.25">
      <c r="A119">
        <v>1615</v>
      </c>
      <c r="B119" t="s">
        <v>217</v>
      </c>
      <c r="C119" t="str">
        <f t="shared" si="1"/>
        <v>1615 - MAXX OUT LOGISTICS LLC</v>
      </c>
    </row>
    <row r="120" spans="1:5" ht="15" customHeight="1" x14ac:dyDescent="0.25">
      <c r="A120">
        <v>1653</v>
      </c>
      <c r="B120" t="s">
        <v>218</v>
      </c>
      <c r="C120" t="str">
        <f t="shared" si="1"/>
        <v>1653 - MEDELEZ TRUCKING LLC</v>
      </c>
    </row>
    <row r="121" spans="1:5" ht="15" customHeight="1" x14ac:dyDescent="0.25">
      <c r="A121">
        <v>1607</v>
      </c>
      <c r="B121" t="s">
        <v>219</v>
      </c>
      <c r="C121" t="str">
        <f t="shared" si="1"/>
        <v>1607 - MIDNIGHT TRUCKING LLC</v>
      </c>
    </row>
    <row r="122" spans="1:5" ht="15" customHeight="1" x14ac:dyDescent="0.25">
      <c r="A122">
        <v>1454</v>
      </c>
      <c r="B122" t="s">
        <v>220</v>
      </c>
      <c r="C122" t="str">
        <f t="shared" si="1"/>
        <v>1454 - MIDWEST FLOOR COVERINGS INC</v>
      </c>
      <c r="D122" t="s">
        <v>109</v>
      </c>
      <c r="E122" t="s">
        <v>99</v>
      </c>
    </row>
    <row r="123" spans="1:5" ht="15" customHeight="1" x14ac:dyDescent="0.25">
      <c r="A123">
        <v>1627</v>
      </c>
      <c r="B123" t="s">
        <v>221</v>
      </c>
      <c r="C123" t="str">
        <f t="shared" si="1"/>
        <v>1627 - MODEL DAIRY</v>
      </c>
    </row>
    <row r="124" spans="1:5" ht="15" customHeight="1" x14ac:dyDescent="0.25">
      <c r="A124">
        <v>1471</v>
      </c>
      <c r="B124" t="s">
        <v>222</v>
      </c>
      <c r="C124" t="str">
        <f t="shared" si="1"/>
        <v>1471 - MODEL LINEN INC</v>
      </c>
      <c r="D124" t="s">
        <v>109</v>
      </c>
      <c r="E124" t="s">
        <v>109</v>
      </c>
    </row>
    <row r="125" spans="1:5" ht="15" customHeight="1" x14ac:dyDescent="0.25">
      <c r="A125">
        <v>740</v>
      </c>
      <c r="B125" t="s">
        <v>223</v>
      </c>
      <c r="C125" t="str">
        <f t="shared" si="1"/>
        <v>740 - MODERN DISPLAY SERVICES INC</v>
      </c>
    </row>
    <row r="126" spans="1:5" ht="15" customHeight="1" x14ac:dyDescent="0.25">
      <c r="A126">
        <v>1421</v>
      </c>
      <c r="B126" t="s">
        <v>224</v>
      </c>
      <c r="C126" t="str">
        <f t="shared" si="1"/>
        <v>1421 - MODERN TRANSPORTATION LLC</v>
      </c>
      <c r="E126" t="s">
        <v>99</v>
      </c>
    </row>
    <row r="127" spans="1:5" ht="15" customHeight="1" x14ac:dyDescent="0.25">
      <c r="A127">
        <v>1539</v>
      </c>
      <c r="B127" t="s">
        <v>225</v>
      </c>
      <c r="C127" t="str">
        <f t="shared" si="1"/>
        <v>1539 - MOON RIVER TRUCKING INC</v>
      </c>
    </row>
    <row r="128" spans="1:5" ht="15" customHeight="1" x14ac:dyDescent="0.25">
      <c r="A128">
        <v>1626</v>
      </c>
      <c r="B128" t="s">
        <v>226</v>
      </c>
      <c r="C128" t="str">
        <f t="shared" si="1"/>
        <v>1626 - MOUNTAINLAND APPLES INC</v>
      </c>
    </row>
    <row r="129" spans="1:5" ht="15" customHeight="1" x14ac:dyDescent="0.25">
      <c r="A129">
        <v>1630</v>
      </c>
      <c r="B129" t="s">
        <v>227</v>
      </c>
      <c r="C129" t="str">
        <f t="shared" si="1"/>
        <v>1630 - MR BULT'S INC</v>
      </c>
    </row>
    <row r="130" spans="1:5" ht="15" customHeight="1" x14ac:dyDescent="0.25">
      <c r="A130">
        <v>1285</v>
      </c>
      <c r="B130" t="s">
        <v>228</v>
      </c>
      <c r="C130" t="str">
        <f t="shared" ref="C130:C193" si="2">A130&amp;" - "&amp;B130</f>
        <v>1285 - MUIR ENTERPRISES INC</v>
      </c>
    </row>
    <row r="131" spans="1:5" ht="15" customHeight="1" x14ac:dyDescent="0.25">
      <c r="A131">
        <v>1519</v>
      </c>
      <c r="B131" t="s">
        <v>229</v>
      </c>
      <c r="C131" t="str">
        <f t="shared" si="2"/>
        <v>1519 - NATIONALEASE OF UTAH</v>
      </c>
      <c r="D131" t="s">
        <v>99</v>
      </c>
      <c r="E131" t="s">
        <v>99</v>
      </c>
    </row>
    <row r="132" spans="1:5" ht="15" customHeight="1" x14ac:dyDescent="0.25">
      <c r="A132">
        <v>1503</v>
      </c>
      <c r="B132" t="s">
        <v>230</v>
      </c>
      <c r="C132" t="str">
        <f t="shared" si="2"/>
        <v>1503 - NELSON &amp; SONS INC</v>
      </c>
      <c r="D132" t="s">
        <v>109</v>
      </c>
      <c r="E132" t="s">
        <v>109</v>
      </c>
    </row>
    <row r="133" spans="1:5" ht="15" customHeight="1" x14ac:dyDescent="0.25">
      <c r="A133">
        <v>1666</v>
      </c>
      <c r="B133" t="s">
        <v>231</v>
      </c>
      <c r="C133" t="str">
        <f t="shared" si="2"/>
        <v>1666 - NEWAY PACKAGING CORP</v>
      </c>
    </row>
    <row r="134" spans="1:5" ht="15" customHeight="1" x14ac:dyDescent="0.25">
      <c r="A134">
        <v>1598</v>
      </c>
      <c r="B134" t="s">
        <v>232</v>
      </c>
      <c r="C134" t="str">
        <f t="shared" si="2"/>
        <v>1598 - NUSSBAUM TRANSPORTATION</v>
      </c>
    </row>
    <row r="135" spans="1:5" ht="15" customHeight="1" x14ac:dyDescent="0.25">
      <c r="A135">
        <v>1330</v>
      </c>
      <c r="B135" t="s">
        <v>233</v>
      </c>
      <c r="C135" t="str">
        <f t="shared" si="2"/>
        <v>1330 - OASIS STAGE WERKS INC</v>
      </c>
    </row>
    <row r="136" spans="1:5" ht="15" customHeight="1" x14ac:dyDescent="0.25">
      <c r="A136">
        <v>1669</v>
      </c>
      <c r="B136" t="s">
        <v>234</v>
      </c>
      <c r="C136" t="str">
        <f t="shared" si="2"/>
        <v>1669 - OFF SPEC SOLUTIONS</v>
      </c>
    </row>
    <row r="137" spans="1:5" ht="15" customHeight="1" x14ac:dyDescent="0.25">
      <c r="A137">
        <v>1657</v>
      </c>
      <c r="B137" t="s">
        <v>235</v>
      </c>
      <c r="C137" t="str">
        <f t="shared" si="2"/>
        <v>1657 - OLSON MOTOR LINES INC</v>
      </c>
    </row>
    <row r="138" spans="1:5" ht="15" customHeight="1" x14ac:dyDescent="0.25">
      <c r="A138">
        <v>4262</v>
      </c>
      <c r="B138" t="s">
        <v>236</v>
      </c>
      <c r="C138" t="str">
        <f t="shared" si="2"/>
        <v>4262 - OMNI LINEN SERVICES LLC</v>
      </c>
    </row>
    <row r="139" spans="1:5" ht="15" customHeight="1" x14ac:dyDescent="0.25">
      <c r="A139">
        <v>1358</v>
      </c>
      <c r="B139" t="s">
        <v>237</v>
      </c>
      <c r="C139" t="str">
        <f t="shared" si="2"/>
        <v>1358 - OTTO LOGISTICS OF COLORADO LLC</v>
      </c>
    </row>
    <row r="140" spans="1:5" ht="15" customHeight="1" x14ac:dyDescent="0.25">
      <c r="A140">
        <v>1588</v>
      </c>
      <c r="B140" t="s">
        <v>238</v>
      </c>
      <c r="C140" t="str">
        <f t="shared" si="2"/>
        <v>1588 - P S C INDUSTRIAL OUTSOURCING LP</v>
      </c>
    </row>
    <row r="141" spans="1:5" ht="15" customHeight="1" x14ac:dyDescent="0.25">
      <c r="A141">
        <v>1581</v>
      </c>
      <c r="B141" t="s">
        <v>239</v>
      </c>
      <c r="C141" t="str">
        <f t="shared" si="2"/>
        <v>1581 - PACCAR FINANCIAL CORP</v>
      </c>
    </row>
    <row r="142" spans="1:5" ht="15" customHeight="1" x14ac:dyDescent="0.25">
      <c r="A142">
        <v>802</v>
      </c>
      <c r="B142" t="s">
        <v>240</v>
      </c>
      <c r="C142" t="str">
        <f t="shared" si="2"/>
        <v>802 - PACCENTRAL</v>
      </c>
      <c r="E142" t="s">
        <v>99</v>
      </c>
    </row>
    <row r="143" spans="1:5" ht="15" customHeight="1" x14ac:dyDescent="0.25">
      <c r="A143">
        <v>1644</v>
      </c>
      <c r="B143" t="s">
        <v>241</v>
      </c>
      <c r="C143" t="str">
        <f t="shared" si="2"/>
        <v>1644 - PACKAGERUNNER TRANSPORT LLC</v>
      </c>
    </row>
    <row r="144" spans="1:5" ht="15" customHeight="1" x14ac:dyDescent="0.25">
      <c r="A144">
        <v>1635</v>
      </c>
      <c r="B144" t="s">
        <v>242</v>
      </c>
      <c r="C144" t="str">
        <f t="shared" si="2"/>
        <v>1635 - PACKARD WHOLESALE</v>
      </c>
    </row>
    <row r="145" spans="1:5" ht="15" customHeight="1" x14ac:dyDescent="0.25">
      <c r="A145">
        <v>1495</v>
      </c>
      <c r="B145" t="s">
        <v>243</v>
      </c>
      <c r="C145" t="str">
        <f t="shared" si="2"/>
        <v>1495 - PALMER VENTURES LLC</v>
      </c>
      <c r="D145" t="s">
        <v>109</v>
      </c>
      <c r="E145" t="s">
        <v>109</v>
      </c>
    </row>
    <row r="146" spans="1:5" ht="15" customHeight="1" x14ac:dyDescent="0.25">
      <c r="A146">
        <v>1569</v>
      </c>
      <c r="B146" t="s">
        <v>244</v>
      </c>
      <c r="C146" t="str">
        <f t="shared" si="2"/>
        <v>1569 - PARS TRANSPORT LP</v>
      </c>
    </row>
    <row r="147" spans="1:5" ht="15" customHeight="1" x14ac:dyDescent="0.25">
      <c r="A147">
        <v>823</v>
      </c>
      <c r="B147" t="s">
        <v>245</v>
      </c>
      <c r="C147" t="str">
        <f t="shared" si="2"/>
        <v>823 - PAT PIERSON TRUCKING IN</v>
      </c>
    </row>
    <row r="148" spans="1:5" ht="15" customHeight="1" x14ac:dyDescent="0.25">
      <c r="A148">
        <v>1426</v>
      </c>
      <c r="B148" t="s">
        <v>246</v>
      </c>
      <c r="C148" t="str">
        <f t="shared" si="2"/>
        <v>1426 - PCS TRUCKING</v>
      </c>
    </row>
    <row r="149" spans="1:5" ht="15" customHeight="1" x14ac:dyDescent="0.25">
      <c r="A149">
        <v>1674</v>
      </c>
      <c r="B149" t="s">
        <v>247</v>
      </c>
      <c r="C149" t="str">
        <f t="shared" si="2"/>
        <v>1674 - PERRYDISE LLC</v>
      </c>
    </row>
    <row r="150" spans="1:5" ht="15" customHeight="1" x14ac:dyDescent="0.25">
      <c r="A150">
        <v>840</v>
      </c>
      <c r="B150" t="s">
        <v>248</v>
      </c>
      <c r="C150" t="str">
        <f t="shared" si="2"/>
        <v>840 - PETERBILT MOTORS</v>
      </c>
    </row>
    <row r="151" spans="1:5" ht="15" customHeight="1" x14ac:dyDescent="0.25">
      <c r="A151">
        <v>847</v>
      </c>
      <c r="B151" t="s">
        <v>249</v>
      </c>
      <c r="C151" t="str">
        <f t="shared" si="2"/>
        <v>847 - PETERBILT OF UTAH</v>
      </c>
    </row>
    <row r="152" spans="1:5" ht="15" customHeight="1" x14ac:dyDescent="0.25">
      <c r="A152">
        <v>1427</v>
      </c>
      <c r="B152" t="s">
        <v>250</v>
      </c>
      <c r="C152" t="str">
        <f t="shared" si="2"/>
        <v>1427 - PICTSWEET COMPANY</v>
      </c>
    </row>
    <row r="153" spans="1:5" ht="15" customHeight="1" x14ac:dyDescent="0.25">
      <c r="A153">
        <v>1524</v>
      </c>
      <c r="B153" t="s">
        <v>251</v>
      </c>
      <c r="C153" t="str">
        <f t="shared" si="2"/>
        <v>1524 - PILOT TRAVEL CENTERS LLC</v>
      </c>
      <c r="D153" t="s">
        <v>99</v>
      </c>
      <c r="E153" t="s">
        <v>99</v>
      </c>
    </row>
    <row r="154" spans="1:5" ht="15" customHeight="1" x14ac:dyDescent="0.25">
      <c r="A154">
        <v>881</v>
      </c>
      <c r="B154" t="s">
        <v>252</v>
      </c>
      <c r="C154" t="str">
        <f t="shared" si="2"/>
        <v>881 - PROFESSIONAL FLOORING SUPPLY</v>
      </c>
    </row>
    <row r="155" spans="1:5" ht="15" customHeight="1" x14ac:dyDescent="0.25">
      <c r="A155">
        <v>1245</v>
      </c>
      <c r="B155" t="s">
        <v>253</v>
      </c>
      <c r="C155" t="str">
        <f t="shared" si="2"/>
        <v>1245 - PROTECH COATINGS INC</v>
      </c>
    </row>
    <row r="156" spans="1:5" ht="15" customHeight="1" x14ac:dyDescent="0.25">
      <c r="A156">
        <v>1683</v>
      </c>
      <c r="B156" t="s">
        <v>254</v>
      </c>
      <c r="C156" t="str">
        <f t="shared" si="2"/>
        <v>1683 - PURPLE INNOVATION LLC</v>
      </c>
    </row>
    <row r="157" spans="1:5" ht="15" customHeight="1" x14ac:dyDescent="0.25">
      <c r="A157">
        <v>1367</v>
      </c>
      <c r="B157" t="s">
        <v>255</v>
      </c>
      <c r="C157" t="str">
        <f t="shared" si="2"/>
        <v>1367 - QUALITY MEATS INC</v>
      </c>
    </row>
    <row r="158" spans="1:5" ht="15" customHeight="1" x14ac:dyDescent="0.25">
      <c r="A158">
        <v>1549</v>
      </c>
      <c r="B158" t="s">
        <v>256</v>
      </c>
      <c r="C158" t="str">
        <f t="shared" si="2"/>
        <v>1549 - R L MILLER TRANSPORT INC</v>
      </c>
    </row>
    <row r="159" spans="1:5" ht="15" customHeight="1" x14ac:dyDescent="0.25">
      <c r="A159">
        <v>1624</v>
      </c>
      <c r="B159" t="s">
        <v>257</v>
      </c>
      <c r="C159" t="str">
        <f t="shared" si="2"/>
        <v>1624 - RAE TRUCKING</v>
      </c>
    </row>
    <row r="160" spans="1:5" ht="15" customHeight="1" x14ac:dyDescent="0.25">
      <c r="A160">
        <v>1488</v>
      </c>
      <c r="B160" t="s">
        <v>258</v>
      </c>
      <c r="C160" t="str">
        <f t="shared" si="2"/>
        <v>1488 - RAIL SCALE INC</v>
      </c>
    </row>
    <row r="161" spans="1:5" ht="15" customHeight="1" x14ac:dyDescent="0.25">
      <c r="A161">
        <v>1682</v>
      </c>
      <c r="B161" t="s">
        <v>259</v>
      </c>
      <c r="C161" t="str">
        <f t="shared" si="2"/>
        <v>1682 - RHINEHART OIL CO LLC</v>
      </c>
    </row>
    <row r="162" spans="1:5" ht="15" customHeight="1" x14ac:dyDescent="0.25">
      <c r="A162">
        <v>1586</v>
      </c>
      <c r="B162" t="s">
        <v>260</v>
      </c>
      <c r="C162" t="str">
        <f t="shared" si="2"/>
        <v>1586 - RISING TIDE INC</v>
      </c>
    </row>
    <row r="163" spans="1:5" ht="15" customHeight="1" x14ac:dyDescent="0.25">
      <c r="A163">
        <v>1651</v>
      </c>
      <c r="B163" t="s">
        <v>261</v>
      </c>
      <c r="C163" t="str">
        <f t="shared" si="2"/>
        <v>1651 - RMP MOBILE &amp; EQUIPMENT LLC</v>
      </c>
    </row>
    <row r="164" spans="1:5" ht="15" customHeight="1" x14ac:dyDescent="0.25">
      <c r="A164">
        <v>944</v>
      </c>
      <c r="B164" t="s">
        <v>262</v>
      </c>
      <c r="C164" t="str">
        <f t="shared" si="2"/>
        <v>944 - ROCKY MOUNTAIN PIES LLC</v>
      </c>
    </row>
    <row r="165" spans="1:5" ht="15" customHeight="1" x14ac:dyDescent="0.25">
      <c r="A165">
        <v>1423</v>
      </c>
      <c r="B165" t="s">
        <v>263</v>
      </c>
      <c r="C165" t="str">
        <f t="shared" si="2"/>
        <v>1423 - ROU TRANSPORTATION LLC</v>
      </c>
    </row>
    <row r="166" spans="1:5" ht="15" customHeight="1" x14ac:dyDescent="0.25">
      <c r="A166">
        <v>1609</v>
      </c>
      <c r="B166" t="s">
        <v>264</v>
      </c>
      <c r="C166" t="str">
        <f t="shared" si="2"/>
        <v>1609 - ROUSH FARMS</v>
      </c>
    </row>
    <row r="167" spans="1:5" ht="15" customHeight="1" x14ac:dyDescent="0.25">
      <c r="A167">
        <v>1411</v>
      </c>
      <c r="B167" t="s">
        <v>265</v>
      </c>
      <c r="C167" t="str">
        <f t="shared" si="2"/>
        <v>1411 - RUBY DOME INC</v>
      </c>
    </row>
    <row r="168" spans="1:5" ht="15" customHeight="1" x14ac:dyDescent="0.25">
      <c r="A168">
        <v>1286</v>
      </c>
      <c r="B168" t="s">
        <v>266</v>
      </c>
      <c r="C168" t="str">
        <f t="shared" si="2"/>
        <v>1286 - RUBY MTN NATURAL SPRING WATER</v>
      </c>
    </row>
    <row r="169" spans="1:5" ht="15" customHeight="1" x14ac:dyDescent="0.25">
      <c r="A169">
        <v>563</v>
      </c>
      <c r="B169" t="s">
        <v>267</v>
      </c>
      <c r="C169" t="str">
        <f t="shared" si="2"/>
        <v>563 - RUSH TRUCK LEASING</v>
      </c>
      <c r="E169" t="s">
        <v>99</v>
      </c>
    </row>
    <row r="170" spans="1:5" ht="15" customHeight="1" x14ac:dyDescent="0.25">
      <c r="A170">
        <v>1368</v>
      </c>
      <c r="B170" t="s">
        <v>267</v>
      </c>
      <c r="C170" t="str">
        <f t="shared" si="2"/>
        <v>1368 - RUSH TRUCK LEASING</v>
      </c>
      <c r="E170" t="s">
        <v>99</v>
      </c>
    </row>
    <row r="171" spans="1:5" ht="15" customHeight="1" x14ac:dyDescent="0.25">
      <c r="A171">
        <v>1612</v>
      </c>
      <c r="B171" t="s">
        <v>268</v>
      </c>
      <c r="C171" t="str">
        <f t="shared" si="2"/>
        <v>1612 - S I D TRUCKING INC</v>
      </c>
    </row>
    <row r="172" spans="1:5" ht="15" customHeight="1" x14ac:dyDescent="0.25">
      <c r="A172">
        <v>1640</v>
      </c>
      <c r="B172" t="s">
        <v>269</v>
      </c>
      <c r="C172" t="str">
        <f t="shared" si="2"/>
        <v>1640 - SALT LAKE EXCAVATING INC</v>
      </c>
    </row>
    <row r="173" spans="1:5" ht="15" customHeight="1" x14ac:dyDescent="0.25">
      <c r="A173">
        <v>1633</v>
      </c>
      <c r="B173" t="s">
        <v>270</v>
      </c>
      <c r="C173" t="str">
        <f t="shared" si="2"/>
        <v>1633 - SETH SWEETEN TRUCKING INC</v>
      </c>
    </row>
    <row r="174" spans="1:5" ht="15" customHeight="1" x14ac:dyDescent="0.25">
      <c r="A174">
        <v>1583</v>
      </c>
      <c r="B174" t="s">
        <v>271</v>
      </c>
      <c r="C174" t="str">
        <f t="shared" si="2"/>
        <v>1583 - SIERRA PACIFIC WINDOWS</v>
      </c>
    </row>
    <row r="175" spans="1:5" ht="15" customHeight="1" x14ac:dyDescent="0.25">
      <c r="A175">
        <v>1610</v>
      </c>
      <c r="B175" t="s">
        <v>272</v>
      </c>
      <c r="C175" t="str">
        <f t="shared" si="2"/>
        <v>1610 - SILVER K TRUCKING</v>
      </c>
    </row>
    <row r="176" spans="1:5" ht="15" customHeight="1" x14ac:dyDescent="0.25">
      <c r="A176">
        <v>1585</v>
      </c>
      <c r="B176" t="s">
        <v>273</v>
      </c>
      <c r="C176" t="str">
        <f t="shared" si="2"/>
        <v>1585 - SIMON TRANSPORT LLC</v>
      </c>
    </row>
    <row r="177" spans="1:3" ht="15" customHeight="1" x14ac:dyDescent="0.25">
      <c r="A177">
        <v>1258</v>
      </c>
      <c r="B177" t="s">
        <v>274</v>
      </c>
      <c r="C177" t="str">
        <f t="shared" si="2"/>
        <v>1258 - SOLI BOND INC</v>
      </c>
    </row>
    <row r="178" spans="1:3" ht="15" customHeight="1" x14ac:dyDescent="0.25">
      <c r="A178">
        <v>1034</v>
      </c>
      <c r="B178" t="s">
        <v>275</v>
      </c>
      <c r="C178" t="str">
        <f t="shared" si="2"/>
        <v>1034 - SOUTH UTAH VALLEY SOLID</v>
      </c>
    </row>
    <row r="179" spans="1:3" ht="15" customHeight="1" x14ac:dyDescent="0.25">
      <c r="A179">
        <v>1670</v>
      </c>
      <c r="B179" t="s">
        <v>276</v>
      </c>
      <c r="C179" t="str">
        <f t="shared" si="2"/>
        <v>1670 - SPENCE OIL LLC</v>
      </c>
    </row>
    <row r="180" spans="1:3" ht="15" customHeight="1" x14ac:dyDescent="0.25">
      <c r="A180">
        <v>1668</v>
      </c>
      <c r="B180" t="s">
        <v>277</v>
      </c>
      <c r="C180" t="str">
        <f t="shared" si="2"/>
        <v>1668 - SPRINTER TRANSIT</v>
      </c>
    </row>
    <row r="181" spans="1:3" ht="15" customHeight="1" x14ac:dyDescent="0.25">
      <c r="A181">
        <v>30566</v>
      </c>
      <c r="B181" t="s">
        <v>278</v>
      </c>
      <c r="C181" t="str">
        <f t="shared" si="2"/>
        <v>30566 - ST GEORGE PETERBILT</v>
      </c>
    </row>
    <row r="182" spans="1:3" ht="15" customHeight="1" x14ac:dyDescent="0.25">
      <c r="A182">
        <v>1448</v>
      </c>
      <c r="B182" t="s">
        <v>279</v>
      </c>
      <c r="C182" t="str">
        <f t="shared" si="2"/>
        <v>1448 - STERICYCLE ENVIRONMENTAL SOLUTIONS INC</v>
      </c>
    </row>
    <row r="183" spans="1:3" ht="15" customHeight="1" x14ac:dyDescent="0.25">
      <c r="A183">
        <v>1509</v>
      </c>
      <c r="B183" t="s">
        <v>280</v>
      </c>
      <c r="C183" t="str">
        <f t="shared" si="2"/>
        <v>1509 - STERICYCLE INC - DACONO CO</v>
      </c>
    </row>
    <row r="184" spans="1:3" ht="15" customHeight="1" x14ac:dyDescent="0.25">
      <c r="A184">
        <v>1631</v>
      </c>
      <c r="B184" t="s">
        <v>281</v>
      </c>
      <c r="C184" t="str">
        <f t="shared" si="2"/>
        <v>1631 - STEVENS SALES COMPANY</v>
      </c>
    </row>
    <row r="185" spans="1:3" ht="15" customHeight="1" x14ac:dyDescent="0.25">
      <c r="A185">
        <v>1371</v>
      </c>
      <c r="B185" t="s">
        <v>282</v>
      </c>
      <c r="C185" t="str">
        <f t="shared" si="2"/>
        <v>1371 - STRAIGHT STRIPE PAINTING INC</v>
      </c>
    </row>
    <row r="186" spans="1:3" ht="15" customHeight="1" x14ac:dyDescent="0.25">
      <c r="A186">
        <v>1649</v>
      </c>
      <c r="B186" t="s">
        <v>283</v>
      </c>
      <c r="C186" t="str">
        <f t="shared" si="2"/>
        <v>1649 - SUNROC BUILDING MATERIALS INC</v>
      </c>
    </row>
    <row r="187" spans="1:3" ht="15" customHeight="1" x14ac:dyDescent="0.25">
      <c r="A187">
        <v>1613</v>
      </c>
      <c r="B187" t="s">
        <v>284</v>
      </c>
      <c r="C187" t="str">
        <f t="shared" si="2"/>
        <v>1613 - SUPREME CORPORATION</v>
      </c>
    </row>
    <row r="188" spans="1:3" ht="15" customHeight="1" x14ac:dyDescent="0.25">
      <c r="A188">
        <v>1592</v>
      </c>
      <c r="B188" t="s">
        <v>285</v>
      </c>
      <c r="C188" t="str">
        <f t="shared" si="2"/>
        <v>1592 - TAURUS NATURAL MANUFACTURING LLC</v>
      </c>
    </row>
    <row r="189" spans="1:3" ht="15" customHeight="1" x14ac:dyDescent="0.25">
      <c r="A189">
        <v>1643</v>
      </c>
      <c r="B189" t="s">
        <v>286</v>
      </c>
      <c r="C189" t="str">
        <f t="shared" si="2"/>
        <v>1643 - TERRA TEK INC</v>
      </c>
    </row>
    <row r="190" spans="1:3" ht="15" customHeight="1" x14ac:dyDescent="0.25">
      <c r="A190">
        <v>1441</v>
      </c>
      <c r="B190" t="s">
        <v>287</v>
      </c>
      <c r="C190" t="str">
        <f t="shared" si="2"/>
        <v>1441 - TEXTILE CARE SERVICES</v>
      </c>
    </row>
    <row r="191" spans="1:3" ht="15" customHeight="1" x14ac:dyDescent="0.25">
      <c r="A191">
        <v>1659</v>
      </c>
      <c r="B191" t="s">
        <v>288</v>
      </c>
      <c r="C191" t="str">
        <f t="shared" si="2"/>
        <v>1659 - TGLV SERVICES INC</v>
      </c>
    </row>
    <row r="192" spans="1:3" ht="15" customHeight="1" x14ac:dyDescent="0.25">
      <c r="A192">
        <v>1617</v>
      </c>
      <c r="B192" t="s">
        <v>289</v>
      </c>
      <c r="C192" t="str">
        <f t="shared" si="2"/>
        <v>1617 - THE GOMBOS COMPANY LLC</v>
      </c>
    </row>
    <row r="193" spans="1:5" ht="15" customHeight="1" x14ac:dyDescent="0.25">
      <c r="A193">
        <v>1636</v>
      </c>
      <c r="B193" t="s">
        <v>290</v>
      </c>
      <c r="C193" t="str">
        <f t="shared" si="2"/>
        <v>1636 - THE OTHER SIDE MOVERS LLC</v>
      </c>
    </row>
    <row r="194" spans="1:5" ht="15" customHeight="1" x14ac:dyDescent="0.25">
      <c r="A194">
        <v>1614</v>
      </c>
      <c r="B194" t="s">
        <v>291</v>
      </c>
      <c r="C194" t="str">
        <f t="shared" ref="C194:C214" si="3">A194&amp;" - "&amp;B194</f>
        <v>1614 - THE PIG BOYS INC</v>
      </c>
    </row>
    <row r="195" spans="1:5" ht="15" customHeight="1" x14ac:dyDescent="0.25">
      <c r="A195">
        <v>1092</v>
      </c>
      <c r="B195" t="s">
        <v>292</v>
      </c>
      <c r="C195" t="str">
        <f t="shared" si="3"/>
        <v>1092 - THERMO FLUIDS</v>
      </c>
      <c r="E195" t="s">
        <v>99</v>
      </c>
    </row>
    <row r="196" spans="1:5" ht="15" customHeight="1" x14ac:dyDescent="0.25">
      <c r="A196">
        <v>3819</v>
      </c>
      <c r="B196" t="s">
        <v>293</v>
      </c>
      <c r="C196" t="str">
        <f t="shared" si="3"/>
        <v>3819 - TIM SAVAGE TRUCKING LLC</v>
      </c>
    </row>
    <row r="197" spans="1:5" ht="15" customHeight="1" x14ac:dyDescent="0.25">
      <c r="A197">
        <v>1689</v>
      </c>
      <c r="B197" t="s">
        <v>294</v>
      </c>
      <c r="C197" t="str">
        <f t="shared" si="3"/>
        <v>1689 - TRANSX LTD</v>
      </c>
    </row>
    <row r="198" spans="1:5" ht="15" customHeight="1" x14ac:dyDescent="0.25">
      <c r="A198">
        <v>1589</v>
      </c>
      <c r="B198" t="s">
        <v>295</v>
      </c>
      <c r="C198" t="str">
        <f t="shared" si="3"/>
        <v>1589 - TRINITY TRANSPORT OF ORLANDO INC</v>
      </c>
    </row>
    <row r="199" spans="1:5" ht="15" customHeight="1" x14ac:dyDescent="0.25">
      <c r="A199">
        <v>1438</v>
      </c>
      <c r="B199" t="s">
        <v>296</v>
      </c>
      <c r="C199" t="str">
        <f t="shared" si="3"/>
        <v>1438 - TWIN ENERGY LLC</v>
      </c>
    </row>
    <row r="200" spans="1:5" ht="15" customHeight="1" x14ac:dyDescent="0.25">
      <c r="A200">
        <v>1141</v>
      </c>
      <c r="B200" t="s">
        <v>297</v>
      </c>
      <c r="C200" t="str">
        <f t="shared" si="3"/>
        <v>1141 - UNITED STATES WELDING INC</v>
      </c>
      <c r="E200" t="s">
        <v>99</v>
      </c>
    </row>
    <row r="201" spans="1:5" ht="15" customHeight="1" x14ac:dyDescent="0.25">
      <c r="A201">
        <v>1142</v>
      </c>
      <c r="B201" t="s">
        <v>298</v>
      </c>
      <c r="C201" t="str">
        <f t="shared" si="3"/>
        <v>1142 - UNIVAR USA INC</v>
      </c>
      <c r="E201" t="s">
        <v>99</v>
      </c>
    </row>
    <row r="202" spans="1:5" ht="15" customHeight="1" x14ac:dyDescent="0.25">
      <c r="A202">
        <v>1594</v>
      </c>
      <c r="B202" t="s">
        <v>299</v>
      </c>
      <c r="C202" t="str">
        <f t="shared" si="3"/>
        <v>1594 - UPS - SALT LAKE CITY</v>
      </c>
    </row>
    <row r="203" spans="1:5" ht="15" customHeight="1" x14ac:dyDescent="0.25">
      <c r="A203">
        <v>1362</v>
      </c>
      <c r="B203" t="s">
        <v>300</v>
      </c>
      <c r="C203" t="str">
        <f t="shared" si="3"/>
        <v>1362 - UTAH VALLEY PETERBILT</v>
      </c>
    </row>
    <row r="204" spans="1:5" ht="15" customHeight="1" x14ac:dyDescent="0.25">
      <c r="A204">
        <v>1501</v>
      </c>
      <c r="B204" t="s">
        <v>301</v>
      </c>
      <c r="C204" t="str">
        <f t="shared" si="3"/>
        <v>1501 - UTILITY TRAILER SALES OF UTAH</v>
      </c>
      <c r="D204" t="s">
        <v>109</v>
      </c>
      <c r="E204" t="s">
        <v>99</v>
      </c>
    </row>
    <row r="205" spans="1:5" ht="15" customHeight="1" x14ac:dyDescent="0.25">
      <c r="A205">
        <v>1590</v>
      </c>
      <c r="B205" t="s">
        <v>302</v>
      </c>
      <c r="C205" t="str">
        <f t="shared" si="3"/>
        <v>1590 - V O G TRUCKING INC</v>
      </c>
    </row>
    <row r="206" spans="1:5" ht="15" customHeight="1" x14ac:dyDescent="0.25">
      <c r="A206">
        <v>1621</v>
      </c>
      <c r="B206" t="s">
        <v>303</v>
      </c>
      <c r="C206" t="str">
        <f t="shared" si="3"/>
        <v>1621 - VERDUZCO TRUCKING INC</v>
      </c>
    </row>
    <row r="207" spans="1:5" ht="15" customHeight="1" x14ac:dyDescent="0.25">
      <c r="A207">
        <v>1650</v>
      </c>
      <c r="B207" t="s">
        <v>304</v>
      </c>
      <c r="C207" t="str">
        <f t="shared" si="3"/>
        <v>1650 - VF TRUCKING LLC</v>
      </c>
    </row>
    <row r="208" spans="1:5" ht="15" customHeight="1" x14ac:dyDescent="0.25">
      <c r="A208">
        <v>1167</v>
      </c>
      <c r="B208" t="s">
        <v>305</v>
      </c>
      <c r="C208" t="str">
        <f t="shared" si="3"/>
        <v>1167 - WADSWORTH BROTHERS CONSTRUCTION</v>
      </c>
    </row>
    <row r="209" spans="1:3" ht="15" customHeight="1" x14ac:dyDescent="0.25">
      <c r="A209">
        <v>1628</v>
      </c>
      <c r="B209" t="s">
        <v>306</v>
      </c>
      <c r="C209" t="str">
        <f t="shared" si="3"/>
        <v>1628 - WASTE &amp; WATER LOGISTICS LLC</v>
      </c>
    </row>
    <row r="210" spans="1:3" ht="15" customHeight="1" x14ac:dyDescent="0.25">
      <c r="A210">
        <v>1575</v>
      </c>
      <c r="B210" t="s">
        <v>307</v>
      </c>
      <c r="C210" t="str">
        <f t="shared" si="3"/>
        <v>1575 - WESTERN CARGO SERVICES INC</v>
      </c>
    </row>
    <row r="211" spans="1:3" ht="15" customHeight="1" x14ac:dyDescent="0.25">
      <c r="A211">
        <v>1632</v>
      </c>
      <c r="B211" t="s">
        <v>308</v>
      </c>
      <c r="C211" t="str">
        <f t="shared" si="3"/>
        <v>1632 - WESTERN MOUNTAIN TRANSPORT</v>
      </c>
    </row>
    <row r="212" spans="1:3" ht="15" customHeight="1" x14ac:dyDescent="0.25">
      <c r="A212">
        <v>1652</v>
      </c>
      <c r="B212" t="s">
        <v>309</v>
      </c>
      <c r="C212" t="str">
        <f t="shared" si="3"/>
        <v>1652 - WESTERN NUT COMPANY</v>
      </c>
    </row>
    <row r="213" spans="1:3" ht="15" customHeight="1" x14ac:dyDescent="0.25">
      <c r="A213">
        <v>1662</v>
      </c>
      <c r="B213" t="s">
        <v>310</v>
      </c>
      <c r="C213" t="str">
        <f t="shared" si="3"/>
        <v>1662 - YOPO EXPEDITE</v>
      </c>
    </row>
    <row r="214" spans="1:3" ht="15" customHeight="1" x14ac:dyDescent="0.25">
      <c r="A214">
        <v>1675</v>
      </c>
      <c r="B214" t="s">
        <v>311</v>
      </c>
      <c r="C214" t="str">
        <f t="shared" si="3"/>
        <v>1675 - ZIM INDUSTRIES INC</v>
      </c>
    </row>
  </sheetData>
  <autoFilter ref="A1:E214" xr:uid="{00000000-0009-0000-0000-000003000000}"/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355"/>
  <sheetViews>
    <sheetView topLeftCell="A251" zoomScaleNormal="100" workbookViewId="0">
      <selection activeCell="A16" sqref="A16"/>
    </sheetView>
  </sheetViews>
  <sheetFormatPr defaultColWidth="18.85546875" defaultRowHeight="15" x14ac:dyDescent="0.25"/>
  <cols>
    <col min="2" max="3" width="36.5703125" customWidth="1"/>
    <col min="4" max="4" width="13.7109375" customWidth="1"/>
    <col min="259" max="259" width="36.5703125" customWidth="1"/>
    <col min="260" max="260" width="13.7109375" customWidth="1"/>
    <col min="515" max="515" width="36.5703125" customWidth="1"/>
    <col min="516" max="516" width="13.7109375" customWidth="1"/>
    <col min="771" max="771" width="36.5703125" customWidth="1"/>
    <col min="772" max="772" width="13.7109375" customWidth="1"/>
    <col min="1027" max="1027" width="36.5703125" customWidth="1"/>
    <col min="1028" max="1028" width="13.7109375" customWidth="1"/>
    <col min="1283" max="1283" width="36.5703125" customWidth="1"/>
    <col min="1284" max="1284" width="13.7109375" customWidth="1"/>
    <col min="1539" max="1539" width="36.5703125" customWidth="1"/>
    <col min="1540" max="1540" width="13.7109375" customWidth="1"/>
    <col min="1795" max="1795" width="36.5703125" customWidth="1"/>
    <col min="1796" max="1796" width="13.7109375" customWidth="1"/>
    <col min="2051" max="2051" width="36.5703125" customWidth="1"/>
    <col min="2052" max="2052" width="13.7109375" customWidth="1"/>
    <col min="2307" max="2307" width="36.5703125" customWidth="1"/>
    <col min="2308" max="2308" width="13.7109375" customWidth="1"/>
    <col min="2563" max="2563" width="36.5703125" customWidth="1"/>
    <col min="2564" max="2564" width="13.7109375" customWidth="1"/>
    <col min="2819" max="2819" width="36.5703125" customWidth="1"/>
    <col min="2820" max="2820" width="13.7109375" customWidth="1"/>
    <col min="3075" max="3075" width="36.5703125" customWidth="1"/>
    <col min="3076" max="3076" width="13.7109375" customWidth="1"/>
    <col min="3331" max="3331" width="36.5703125" customWidth="1"/>
    <col min="3332" max="3332" width="13.7109375" customWidth="1"/>
    <col min="3587" max="3587" width="36.5703125" customWidth="1"/>
    <col min="3588" max="3588" width="13.7109375" customWidth="1"/>
    <col min="3843" max="3843" width="36.5703125" customWidth="1"/>
    <col min="3844" max="3844" width="13.7109375" customWidth="1"/>
    <col min="4099" max="4099" width="36.5703125" customWidth="1"/>
    <col min="4100" max="4100" width="13.7109375" customWidth="1"/>
    <col min="4355" max="4355" width="36.5703125" customWidth="1"/>
    <col min="4356" max="4356" width="13.7109375" customWidth="1"/>
    <col min="4611" max="4611" width="36.5703125" customWidth="1"/>
    <col min="4612" max="4612" width="13.7109375" customWidth="1"/>
    <col min="4867" max="4867" width="36.5703125" customWidth="1"/>
    <col min="4868" max="4868" width="13.7109375" customWidth="1"/>
    <col min="5123" max="5123" width="36.5703125" customWidth="1"/>
    <col min="5124" max="5124" width="13.7109375" customWidth="1"/>
    <col min="5379" max="5379" width="36.5703125" customWidth="1"/>
    <col min="5380" max="5380" width="13.7109375" customWidth="1"/>
    <col min="5635" max="5635" width="36.5703125" customWidth="1"/>
    <col min="5636" max="5636" width="13.7109375" customWidth="1"/>
    <col min="5891" max="5891" width="36.5703125" customWidth="1"/>
    <col min="5892" max="5892" width="13.7109375" customWidth="1"/>
    <col min="6147" max="6147" width="36.5703125" customWidth="1"/>
    <col min="6148" max="6148" width="13.7109375" customWidth="1"/>
    <col min="6403" max="6403" width="36.5703125" customWidth="1"/>
    <col min="6404" max="6404" width="13.7109375" customWidth="1"/>
    <col min="6659" max="6659" width="36.5703125" customWidth="1"/>
    <col min="6660" max="6660" width="13.7109375" customWidth="1"/>
    <col min="6915" max="6915" width="36.5703125" customWidth="1"/>
    <col min="6916" max="6916" width="13.7109375" customWidth="1"/>
    <col min="7171" max="7171" width="36.5703125" customWidth="1"/>
    <col min="7172" max="7172" width="13.7109375" customWidth="1"/>
    <col min="7427" max="7427" width="36.5703125" customWidth="1"/>
    <col min="7428" max="7428" width="13.7109375" customWidth="1"/>
    <col min="7683" max="7683" width="36.5703125" customWidth="1"/>
    <col min="7684" max="7684" width="13.7109375" customWidth="1"/>
    <col min="7939" max="7939" width="36.5703125" customWidth="1"/>
    <col min="7940" max="7940" width="13.7109375" customWidth="1"/>
    <col min="8195" max="8195" width="36.5703125" customWidth="1"/>
    <col min="8196" max="8196" width="13.7109375" customWidth="1"/>
    <col min="8451" max="8451" width="36.5703125" customWidth="1"/>
    <col min="8452" max="8452" width="13.7109375" customWidth="1"/>
    <col min="8707" max="8707" width="36.5703125" customWidth="1"/>
    <col min="8708" max="8708" width="13.7109375" customWidth="1"/>
    <col min="8963" max="8963" width="36.5703125" customWidth="1"/>
    <col min="8964" max="8964" width="13.7109375" customWidth="1"/>
    <col min="9219" max="9219" width="36.5703125" customWidth="1"/>
    <col min="9220" max="9220" width="13.7109375" customWidth="1"/>
    <col min="9475" max="9475" width="36.5703125" customWidth="1"/>
    <col min="9476" max="9476" width="13.7109375" customWidth="1"/>
    <col min="9731" max="9731" width="36.5703125" customWidth="1"/>
    <col min="9732" max="9732" width="13.7109375" customWidth="1"/>
    <col min="9987" max="9987" width="36.5703125" customWidth="1"/>
    <col min="9988" max="9988" width="13.7109375" customWidth="1"/>
    <col min="10243" max="10243" width="36.5703125" customWidth="1"/>
    <col min="10244" max="10244" width="13.7109375" customWidth="1"/>
    <col min="10499" max="10499" width="36.5703125" customWidth="1"/>
    <col min="10500" max="10500" width="13.7109375" customWidth="1"/>
    <col min="10755" max="10755" width="36.5703125" customWidth="1"/>
    <col min="10756" max="10756" width="13.7109375" customWidth="1"/>
    <col min="11011" max="11011" width="36.5703125" customWidth="1"/>
    <col min="11012" max="11012" width="13.7109375" customWidth="1"/>
    <col min="11267" max="11267" width="36.5703125" customWidth="1"/>
    <col min="11268" max="11268" width="13.7109375" customWidth="1"/>
    <col min="11523" max="11523" width="36.5703125" customWidth="1"/>
    <col min="11524" max="11524" width="13.7109375" customWidth="1"/>
    <col min="11779" max="11779" width="36.5703125" customWidth="1"/>
    <col min="11780" max="11780" width="13.7109375" customWidth="1"/>
    <col min="12035" max="12035" width="36.5703125" customWidth="1"/>
    <col min="12036" max="12036" width="13.7109375" customWidth="1"/>
    <col min="12291" max="12291" width="36.5703125" customWidth="1"/>
    <col min="12292" max="12292" width="13.7109375" customWidth="1"/>
    <col min="12547" max="12547" width="36.5703125" customWidth="1"/>
    <col min="12548" max="12548" width="13.7109375" customWidth="1"/>
    <col min="12803" max="12803" width="36.5703125" customWidth="1"/>
    <col min="12804" max="12804" width="13.7109375" customWidth="1"/>
    <col min="13059" max="13059" width="36.5703125" customWidth="1"/>
    <col min="13060" max="13060" width="13.7109375" customWidth="1"/>
    <col min="13315" max="13315" width="36.5703125" customWidth="1"/>
    <col min="13316" max="13316" width="13.7109375" customWidth="1"/>
    <col min="13571" max="13571" width="36.5703125" customWidth="1"/>
    <col min="13572" max="13572" width="13.7109375" customWidth="1"/>
    <col min="13827" max="13827" width="36.5703125" customWidth="1"/>
    <col min="13828" max="13828" width="13.7109375" customWidth="1"/>
    <col min="14083" max="14083" width="36.5703125" customWidth="1"/>
    <col min="14084" max="14084" width="13.7109375" customWidth="1"/>
    <col min="14339" max="14339" width="36.5703125" customWidth="1"/>
    <col min="14340" max="14340" width="13.7109375" customWidth="1"/>
    <col min="14595" max="14595" width="36.5703125" customWidth="1"/>
    <col min="14596" max="14596" width="13.7109375" customWidth="1"/>
    <col min="14851" max="14851" width="36.5703125" customWidth="1"/>
    <col min="14852" max="14852" width="13.7109375" customWidth="1"/>
    <col min="15107" max="15107" width="36.5703125" customWidth="1"/>
    <col min="15108" max="15108" width="13.7109375" customWidth="1"/>
    <col min="15363" max="15363" width="36.5703125" customWidth="1"/>
    <col min="15364" max="15364" width="13.7109375" customWidth="1"/>
    <col min="15619" max="15619" width="36.5703125" customWidth="1"/>
    <col min="15620" max="15620" width="13.7109375" customWidth="1"/>
    <col min="15875" max="15875" width="36.5703125" customWidth="1"/>
    <col min="15876" max="15876" width="13.7109375" customWidth="1"/>
    <col min="16131" max="16131" width="36.5703125" customWidth="1"/>
    <col min="16132" max="16132" width="13.7109375" customWidth="1"/>
  </cols>
  <sheetData>
    <row r="1" spans="1:6" ht="15" customHeight="1" x14ac:dyDescent="0.25">
      <c r="B1" t="s">
        <v>312</v>
      </c>
    </row>
    <row r="2" spans="1:6" ht="15" customHeight="1" x14ac:dyDescent="0.25">
      <c r="B2" s="94">
        <v>42716</v>
      </c>
    </row>
    <row r="4" spans="1:6" ht="15" customHeight="1" x14ac:dyDescent="0.25">
      <c r="B4" s="95" t="s">
        <v>313</v>
      </c>
      <c r="C4" s="95"/>
    </row>
    <row r="5" spans="1:6" ht="15" customHeight="1" x14ac:dyDescent="0.25">
      <c r="B5" s="96" t="s">
        <v>314</v>
      </c>
      <c r="C5" s="96"/>
    </row>
    <row r="6" spans="1:6" ht="15" customHeight="1" x14ac:dyDescent="0.25">
      <c r="B6" s="97" t="s">
        <v>315</v>
      </c>
      <c r="C6" s="97"/>
    </row>
    <row r="8" spans="1:6" ht="15" customHeight="1" x14ac:dyDescent="0.25">
      <c r="A8" t="s">
        <v>316</v>
      </c>
      <c r="B8" t="s">
        <v>317</v>
      </c>
      <c r="C8" t="s">
        <v>1</v>
      </c>
      <c r="D8" t="s">
        <v>318</v>
      </c>
      <c r="E8" t="s">
        <v>96</v>
      </c>
      <c r="F8" t="s">
        <v>97</v>
      </c>
    </row>
    <row r="9" spans="1:6" ht="15" customHeight="1" x14ac:dyDescent="0.25">
      <c r="A9" s="96">
        <v>1504</v>
      </c>
      <c r="B9" s="96" t="s">
        <v>319</v>
      </c>
      <c r="C9" s="95" t="str">
        <f t="shared" ref="C9:C72" si="0">A9&amp;"-"&amp;B9</f>
        <v>1504-A1 TRANSPORTATION</v>
      </c>
      <c r="D9" s="98">
        <v>42544</v>
      </c>
      <c r="E9" t="s">
        <v>109</v>
      </c>
      <c r="F9" t="s">
        <v>99</v>
      </c>
    </row>
    <row r="10" spans="1:6" ht="15" customHeight="1" x14ac:dyDescent="0.25">
      <c r="A10" s="95">
        <v>1266</v>
      </c>
      <c r="B10" s="95" t="s">
        <v>320</v>
      </c>
      <c r="C10" s="95" t="str">
        <f t="shared" si="0"/>
        <v>1266-A CORE CONCRETE CUTTING</v>
      </c>
      <c r="D10" s="99">
        <v>41177</v>
      </c>
      <c r="F10" t="s">
        <v>99</v>
      </c>
    </row>
    <row r="11" spans="1:6" ht="15" customHeight="1" x14ac:dyDescent="0.25">
      <c r="A11" s="95">
        <v>1374</v>
      </c>
      <c r="B11" s="95" t="s">
        <v>321</v>
      </c>
      <c r="C11" s="95" t="str">
        <f t="shared" si="0"/>
        <v>1374-A G NEEDS INC</v>
      </c>
      <c r="D11" s="99">
        <v>41828</v>
      </c>
    </row>
    <row r="12" spans="1:6" ht="15" customHeight="1" x14ac:dyDescent="0.25">
      <c r="A12" s="95">
        <v>264</v>
      </c>
      <c r="B12" s="95" t="s">
        <v>322</v>
      </c>
      <c r="C12" s="95" t="str">
        <f t="shared" si="0"/>
        <v>264-AG EXPRESS INC</v>
      </c>
      <c r="D12" s="99">
        <v>40736</v>
      </c>
    </row>
    <row r="13" spans="1:6" ht="15" customHeight="1" x14ac:dyDescent="0.25">
      <c r="A13" s="95">
        <v>270</v>
      </c>
      <c r="B13" s="95" t="s">
        <v>323</v>
      </c>
      <c r="C13" s="95" t="str">
        <f t="shared" si="0"/>
        <v>270-AL PARK PETROLEUM INC</v>
      </c>
      <c r="D13" s="99">
        <v>39219</v>
      </c>
    </row>
    <row r="14" spans="1:6" ht="15" customHeight="1" x14ac:dyDescent="0.25">
      <c r="A14" s="96">
        <v>1466</v>
      </c>
      <c r="B14" s="96" t="s">
        <v>324</v>
      </c>
      <c r="C14" s="95" t="str">
        <f t="shared" si="0"/>
        <v>1466-ALFALFA EXRESS TRUCKING LLC</v>
      </c>
      <c r="D14" s="100">
        <v>42352</v>
      </c>
      <c r="E14" t="s">
        <v>109</v>
      </c>
      <c r="F14" t="s">
        <v>99</v>
      </c>
    </row>
    <row r="15" spans="1:6" ht="15" customHeight="1" x14ac:dyDescent="0.25">
      <c r="A15" s="95">
        <v>1320</v>
      </c>
      <c r="B15" s="95" t="s">
        <v>325</v>
      </c>
      <c r="C15" s="95" t="str">
        <f t="shared" si="0"/>
        <v>1320-ALLIED POTATO INC</v>
      </c>
      <c r="D15" s="99">
        <v>41565</v>
      </c>
    </row>
    <row r="16" spans="1:6" ht="15" customHeight="1" x14ac:dyDescent="0.25">
      <c r="A16" s="95">
        <v>1394</v>
      </c>
      <c r="B16" s="95" t="s">
        <v>106</v>
      </c>
      <c r="C16" s="95" t="str">
        <f t="shared" si="0"/>
        <v>1394-AMC USA LLC</v>
      </c>
      <c r="D16" s="99">
        <v>41922</v>
      </c>
    </row>
    <row r="17" spans="1:6" ht="15" customHeight="1" x14ac:dyDescent="0.25">
      <c r="A17" s="96">
        <v>1515</v>
      </c>
      <c r="B17" s="96" t="s">
        <v>326</v>
      </c>
      <c r="C17" s="95" t="str">
        <f t="shared" si="0"/>
        <v>1515-ANDREWS TRUCK MANAGEMENT</v>
      </c>
      <c r="D17" s="100">
        <v>42621</v>
      </c>
      <c r="E17" t="s">
        <v>109</v>
      </c>
      <c r="F17" t="s">
        <v>109</v>
      </c>
    </row>
    <row r="18" spans="1:6" ht="15" customHeight="1" x14ac:dyDescent="0.25">
      <c r="A18" s="95">
        <v>1432</v>
      </c>
      <c r="B18" s="95" t="s">
        <v>327</v>
      </c>
      <c r="C18" s="95" t="str">
        <f t="shared" si="0"/>
        <v>1432-ANDRUS TRANSPORTATION SERVICES INC</v>
      </c>
      <c r="D18" s="99">
        <v>42144</v>
      </c>
    </row>
    <row r="19" spans="1:6" ht="15" customHeight="1" x14ac:dyDescent="0.25">
      <c r="A19" s="95">
        <v>1349</v>
      </c>
      <c r="B19" s="95" t="s">
        <v>328</v>
      </c>
      <c r="C19" s="95" t="str">
        <f t="shared" si="0"/>
        <v>1349-ARCO INDUSTRIAL SALES INC</v>
      </c>
      <c r="D19" s="99">
        <v>41716</v>
      </c>
    </row>
    <row r="20" spans="1:6" ht="15" customHeight="1" x14ac:dyDescent="0.25">
      <c r="A20" s="95">
        <v>288</v>
      </c>
      <c r="B20" s="95" t="s">
        <v>329</v>
      </c>
      <c r="C20" s="95" t="str">
        <f t="shared" si="0"/>
        <v>288-ARLO G LOTT TRUCKING</v>
      </c>
      <c r="D20" s="99">
        <v>38216</v>
      </c>
    </row>
    <row r="21" spans="1:6" ht="15" customHeight="1" x14ac:dyDescent="0.25">
      <c r="A21" s="95">
        <v>1496</v>
      </c>
      <c r="B21" s="95" t="s">
        <v>330</v>
      </c>
      <c r="C21" s="95" t="str">
        <f t="shared" si="0"/>
        <v>1496-ASHDOWN TRANSPORT</v>
      </c>
      <c r="D21" s="99">
        <v>42492</v>
      </c>
      <c r="E21" t="s">
        <v>109</v>
      </c>
      <c r="F21" t="s">
        <v>109</v>
      </c>
    </row>
    <row r="22" spans="1:6" ht="15" customHeight="1" x14ac:dyDescent="0.25">
      <c r="A22" s="97">
        <v>1356</v>
      </c>
      <c r="B22" s="97" t="s">
        <v>331</v>
      </c>
      <c r="C22" s="95" t="str">
        <f t="shared" si="0"/>
        <v>1356-ASPEN PRESS COMPANY LC</v>
      </c>
      <c r="D22" s="101">
        <v>41757</v>
      </c>
    </row>
    <row r="23" spans="1:6" ht="15" customHeight="1" x14ac:dyDescent="0.25">
      <c r="A23" s="95">
        <v>1314</v>
      </c>
      <c r="B23" s="95" t="s">
        <v>110</v>
      </c>
      <c r="C23" s="95" t="str">
        <f t="shared" si="0"/>
        <v>1314-AUTOLIV ASP INC</v>
      </c>
      <c r="D23" s="99">
        <v>41512</v>
      </c>
      <c r="F23" t="s">
        <v>99</v>
      </c>
    </row>
    <row r="24" spans="1:6" ht="15" customHeight="1" x14ac:dyDescent="0.25">
      <c r="A24" s="96">
        <v>1352</v>
      </c>
      <c r="B24" s="96" t="s">
        <v>332</v>
      </c>
      <c r="C24" s="95" t="str">
        <f t="shared" si="0"/>
        <v>1352-B H I</v>
      </c>
      <c r="D24" s="100">
        <v>41738</v>
      </c>
    </row>
    <row r="25" spans="1:6" ht="15" customHeight="1" x14ac:dyDescent="0.25">
      <c r="A25" s="95">
        <v>304</v>
      </c>
      <c r="B25" s="95" t="s">
        <v>333</v>
      </c>
      <c r="C25" s="95" t="str">
        <f t="shared" si="0"/>
        <v>304-B-A-D REPAIR</v>
      </c>
      <c r="D25" s="99">
        <v>38216</v>
      </c>
    </row>
    <row r="26" spans="1:6" ht="15" customHeight="1" x14ac:dyDescent="0.25">
      <c r="A26" s="95">
        <v>319</v>
      </c>
      <c r="B26" s="95" t="s">
        <v>334</v>
      </c>
      <c r="C26" s="95" t="str">
        <f t="shared" si="0"/>
        <v>319-BARNEY TRUCKING INC</v>
      </c>
      <c r="D26" s="99">
        <v>40210</v>
      </c>
    </row>
    <row r="27" spans="1:6" ht="15" customHeight="1" x14ac:dyDescent="0.25">
      <c r="A27" s="95">
        <v>1474</v>
      </c>
      <c r="B27" s="95" t="s">
        <v>335</v>
      </c>
      <c r="C27" s="95" t="str">
        <f t="shared" si="0"/>
        <v>1474-BARRETO TRUCKING</v>
      </c>
      <c r="D27" s="99">
        <v>42375</v>
      </c>
      <c r="E27" t="s">
        <v>109</v>
      </c>
      <c r="F27" t="s">
        <v>109</v>
      </c>
    </row>
    <row r="28" spans="1:6" ht="15" customHeight="1" x14ac:dyDescent="0.25">
      <c r="A28" s="96">
        <v>1442</v>
      </c>
      <c r="B28" s="96" t="s">
        <v>336</v>
      </c>
      <c r="C28" s="95" t="str">
        <f t="shared" si="0"/>
        <v>1442-BIG BENS TRANSPORT SERVICE</v>
      </c>
      <c r="D28" s="100">
        <v>42207</v>
      </c>
    </row>
    <row r="29" spans="1:6" ht="15" customHeight="1" x14ac:dyDescent="0.25">
      <c r="A29" s="95">
        <v>1344</v>
      </c>
      <c r="B29" s="95" t="s">
        <v>117</v>
      </c>
      <c r="C29" s="95" t="str">
        <f t="shared" si="0"/>
        <v>1344-BIG C FINANCE</v>
      </c>
      <c r="D29" s="99">
        <v>41683</v>
      </c>
    </row>
    <row r="30" spans="1:6" ht="15" customHeight="1" x14ac:dyDescent="0.25">
      <c r="A30" s="96">
        <v>1497</v>
      </c>
      <c r="B30" s="96" t="s">
        <v>337</v>
      </c>
      <c r="C30" s="95" t="str">
        <f t="shared" si="0"/>
        <v>1497-BINGHAM TRUCKING LLC</v>
      </c>
      <c r="D30" s="100">
        <v>42493</v>
      </c>
      <c r="E30" t="s">
        <v>109</v>
      </c>
      <c r="F30" t="s">
        <v>109</v>
      </c>
    </row>
    <row r="31" spans="1:6" ht="15" customHeight="1" x14ac:dyDescent="0.25">
      <c r="A31" s="95">
        <v>1482</v>
      </c>
      <c r="B31" s="95" t="s">
        <v>338</v>
      </c>
      <c r="C31" s="95" t="str">
        <f t="shared" si="0"/>
        <v>1482-BJ CECIL TRUCKING INC</v>
      </c>
      <c r="D31" s="99">
        <v>42431</v>
      </c>
      <c r="E31" t="s">
        <v>109</v>
      </c>
      <c r="F31" t="s">
        <v>99</v>
      </c>
    </row>
    <row r="32" spans="1:6" ht="15" customHeight="1" x14ac:dyDescent="0.25">
      <c r="A32" s="95">
        <v>338</v>
      </c>
      <c r="B32" s="95" t="s">
        <v>339</v>
      </c>
      <c r="C32" s="95" t="str">
        <f t="shared" si="0"/>
        <v>338-BLAINE EVANS TRUCKING</v>
      </c>
      <c r="D32" s="99">
        <v>40953</v>
      </c>
    </row>
    <row r="33" spans="1:6" ht="15" customHeight="1" x14ac:dyDescent="0.25">
      <c r="A33" s="95">
        <v>1321</v>
      </c>
      <c r="B33" s="95" t="s">
        <v>119</v>
      </c>
      <c r="C33" s="95" t="str">
        <f t="shared" si="0"/>
        <v>1321-BLAINE HARTLEY INC</v>
      </c>
      <c r="D33" s="99">
        <v>41575</v>
      </c>
    </row>
    <row r="34" spans="1:6" ht="15" customHeight="1" x14ac:dyDescent="0.25">
      <c r="A34" s="95">
        <v>1498</v>
      </c>
      <c r="B34" s="95" t="s">
        <v>340</v>
      </c>
      <c r="C34" s="95" t="str">
        <f t="shared" si="0"/>
        <v>1498-BLUE LINE FOODSERVICE DIST INC</v>
      </c>
      <c r="D34" s="99">
        <v>42509</v>
      </c>
      <c r="E34" t="s">
        <v>109</v>
      </c>
      <c r="F34" t="s">
        <v>99</v>
      </c>
    </row>
    <row r="35" spans="1:6" ht="15" customHeight="1" x14ac:dyDescent="0.25">
      <c r="A35" s="95">
        <v>346</v>
      </c>
      <c r="B35" s="95" t="s">
        <v>122</v>
      </c>
      <c r="C35" s="95" t="str">
        <f t="shared" si="0"/>
        <v>346-BOISE PETERBILT INC</v>
      </c>
      <c r="D35" s="99">
        <v>40365</v>
      </c>
    </row>
    <row r="36" spans="1:6" ht="15" customHeight="1" x14ac:dyDescent="0.25">
      <c r="A36" s="95">
        <v>1399</v>
      </c>
      <c r="B36" s="95" t="s">
        <v>341</v>
      </c>
      <c r="C36" s="95" t="str">
        <f t="shared" si="0"/>
        <v>1399-BOULEVARD HOME FURNISHINGS</v>
      </c>
      <c r="D36" s="99">
        <v>41941</v>
      </c>
    </row>
    <row r="37" spans="1:6" ht="15" customHeight="1" x14ac:dyDescent="0.25">
      <c r="A37" s="95">
        <v>1316</v>
      </c>
      <c r="B37" s="95" t="s">
        <v>124</v>
      </c>
      <c r="C37" s="95" t="str">
        <f t="shared" si="0"/>
        <v>1316-BRINKS INCORPORATED</v>
      </c>
      <c r="D37" s="99">
        <v>41528</v>
      </c>
    </row>
    <row r="38" spans="1:6" ht="15" customHeight="1" x14ac:dyDescent="0.25">
      <c r="A38" s="95">
        <v>1479</v>
      </c>
      <c r="B38" s="95" t="s">
        <v>342</v>
      </c>
      <c r="C38" s="95" t="str">
        <f t="shared" si="0"/>
        <v>1479-BRITTAIN TRUCKING INC</v>
      </c>
      <c r="D38" s="99">
        <v>42410</v>
      </c>
      <c r="E38" t="s">
        <v>109</v>
      </c>
      <c r="F38" t="s">
        <v>99</v>
      </c>
    </row>
    <row r="39" spans="1:6" ht="15" customHeight="1" x14ac:dyDescent="0.25">
      <c r="A39" s="96">
        <v>1514</v>
      </c>
      <c r="B39" s="96" t="s">
        <v>125</v>
      </c>
      <c r="C39" s="95" t="str">
        <f t="shared" si="0"/>
        <v>1514-BRODY CHEMICAL COMPANY INC</v>
      </c>
      <c r="D39" s="100">
        <v>42614</v>
      </c>
      <c r="E39" t="s">
        <v>109</v>
      </c>
      <c r="F39" t="s">
        <v>109</v>
      </c>
    </row>
    <row r="40" spans="1:6" ht="15" customHeight="1" x14ac:dyDescent="0.25">
      <c r="A40" s="95">
        <v>386</v>
      </c>
      <c r="B40" s="95" t="s">
        <v>343</v>
      </c>
      <c r="C40" s="95" t="str">
        <f t="shared" si="0"/>
        <v>386-BRON LEATHAM TRUCKING LLC</v>
      </c>
      <c r="D40" s="99">
        <v>38216</v>
      </c>
    </row>
    <row r="41" spans="1:6" ht="15" customHeight="1" x14ac:dyDescent="0.25">
      <c r="A41" s="95">
        <v>1243</v>
      </c>
      <c r="B41" s="95" t="s">
        <v>126</v>
      </c>
      <c r="C41" s="95" t="str">
        <f t="shared" si="0"/>
        <v>1243-BROWN STRAUSS STEEL</v>
      </c>
      <c r="D41" s="99">
        <v>39730</v>
      </c>
    </row>
    <row r="42" spans="1:6" ht="15" customHeight="1" x14ac:dyDescent="0.25">
      <c r="A42" s="95">
        <v>1455</v>
      </c>
      <c r="B42" s="95" t="s">
        <v>344</v>
      </c>
      <c r="C42" s="95" t="str">
        <f t="shared" si="0"/>
        <v>1455-BURNINGHAM ENTERPRISES</v>
      </c>
      <c r="D42" s="99">
        <v>42297</v>
      </c>
    </row>
    <row r="43" spans="1:6" ht="15" customHeight="1" x14ac:dyDescent="0.25">
      <c r="A43" s="96">
        <v>1492</v>
      </c>
      <c r="B43" s="96" t="s">
        <v>345</v>
      </c>
      <c r="C43" s="95" t="str">
        <f t="shared" si="0"/>
        <v>1492-BY PRODUCTS EXPRESS LLC</v>
      </c>
      <c r="D43" s="100">
        <v>42479</v>
      </c>
      <c r="E43" t="s">
        <v>109</v>
      </c>
      <c r="F43" t="s">
        <v>99</v>
      </c>
    </row>
    <row r="44" spans="1:6" ht="15" customHeight="1" x14ac:dyDescent="0.25">
      <c r="A44" s="95">
        <v>1333</v>
      </c>
      <c r="B44" s="95" t="s">
        <v>127</v>
      </c>
      <c r="C44" s="95" t="str">
        <f t="shared" si="0"/>
        <v>1333-C &amp; H DISTRIBUTING CO INC</v>
      </c>
      <c r="D44" s="99">
        <v>41645</v>
      </c>
    </row>
    <row r="45" spans="1:6" ht="15" customHeight="1" x14ac:dyDescent="0.25">
      <c r="A45" s="95">
        <v>1383</v>
      </c>
      <c r="B45" s="95" t="s">
        <v>346</v>
      </c>
      <c r="C45" s="95" t="str">
        <f t="shared" si="0"/>
        <v>1383-CALDWELL PETERBILT</v>
      </c>
      <c r="D45" s="99">
        <v>41865</v>
      </c>
    </row>
    <row r="46" spans="1:6" ht="15" customHeight="1" x14ac:dyDescent="0.25">
      <c r="A46" s="95">
        <v>1417</v>
      </c>
      <c r="B46" s="95" t="s">
        <v>347</v>
      </c>
      <c r="C46" s="95" t="str">
        <f t="shared" si="0"/>
        <v>1417-CALIFORNIA OVERLAND LTD</v>
      </c>
      <c r="D46" s="99">
        <v>42031</v>
      </c>
    </row>
    <row r="47" spans="1:6" ht="15" customHeight="1" x14ac:dyDescent="0.25">
      <c r="A47" s="96">
        <v>1293</v>
      </c>
      <c r="B47" s="96" t="s">
        <v>129</v>
      </c>
      <c r="C47" s="95" t="str">
        <f t="shared" si="0"/>
        <v>1293-CALL'S BEAR RIVER TRUCKING</v>
      </c>
      <c r="D47" s="100">
        <v>42683</v>
      </c>
      <c r="E47" t="s">
        <v>109</v>
      </c>
      <c r="F47" t="s">
        <v>109</v>
      </c>
    </row>
    <row r="48" spans="1:6" ht="15" customHeight="1" x14ac:dyDescent="0.25">
      <c r="A48" s="95">
        <v>1480</v>
      </c>
      <c r="B48" s="95" t="s">
        <v>348</v>
      </c>
      <c r="C48" s="95" t="str">
        <f t="shared" si="0"/>
        <v>1480-CARTER FREIGHT</v>
      </c>
      <c r="D48" s="99">
        <v>42416</v>
      </c>
      <c r="E48" t="s">
        <v>109</v>
      </c>
      <c r="F48" t="s">
        <v>99</v>
      </c>
    </row>
    <row r="49" spans="1:6" ht="15" customHeight="1" x14ac:dyDescent="0.25">
      <c r="A49" s="96">
        <v>382</v>
      </c>
      <c r="B49" s="96" t="s">
        <v>349</v>
      </c>
      <c r="C49" s="95" t="str">
        <f t="shared" si="0"/>
        <v>382-CASH SALE</v>
      </c>
      <c r="D49" s="100">
        <v>38212</v>
      </c>
    </row>
    <row r="50" spans="1:6" ht="15" customHeight="1" x14ac:dyDescent="0.25">
      <c r="A50" s="96">
        <v>1238</v>
      </c>
      <c r="B50" s="96" t="s">
        <v>350</v>
      </c>
      <c r="C50" s="95" t="str">
        <f t="shared" si="0"/>
        <v>1238-CAVRAG TRANS LLC</v>
      </c>
      <c r="D50" s="100">
        <v>41064</v>
      </c>
      <c r="E50" t="s">
        <v>73</v>
      </c>
      <c r="F50" t="s">
        <v>73</v>
      </c>
    </row>
    <row r="51" spans="1:6" ht="15" customHeight="1" x14ac:dyDescent="0.25">
      <c r="A51" s="96">
        <v>1465</v>
      </c>
      <c r="B51" s="96" t="s">
        <v>351</v>
      </c>
      <c r="C51" s="95" t="str">
        <f t="shared" si="0"/>
        <v>1465-CE BUTTERS CONSTRUCTION</v>
      </c>
      <c r="D51" s="100">
        <v>42348</v>
      </c>
      <c r="E51" t="s">
        <v>109</v>
      </c>
      <c r="F51" t="s">
        <v>99</v>
      </c>
    </row>
    <row r="52" spans="1:6" ht="15" customHeight="1" x14ac:dyDescent="0.25">
      <c r="A52" s="96">
        <v>1473</v>
      </c>
      <c r="B52" s="96" t="s">
        <v>131</v>
      </c>
      <c r="C52" s="95" t="str">
        <f t="shared" si="0"/>
        <v>1473-CHAD PORTER ENTERPRISES LLC</v>
      </c>
      <c r="D52" s="100">
        <v>42374</v>
      </c>
      <c r="E52" t="s">
        <v>109</v>
      </c>
      <c r="F52" t="s">
        <v>109</v>
      </c>
    </row>
    <row r="53" spans="1:6" ht="15" customHeight="1" x14ac:dyDescent="0.25">
      <c r="A53" s="95">
        <v>392</v>
      </c>
      <c r="B53" s="95" t="s">
        <v>132</v>
      </c>
      <c r="C53" s="95" t="str">
        <f t="shared" si="0"/>
        <v>392-CHALLENGER PALLET &amp; SUPPLY INC</v>
      </c>
      <c r="D53" s="99">
        <v>38216</v>
      </c>
    </row>
    <row r="54" spans="1:6" ht="15" customHeight="1" x14ac:dyDescent="0.25">
      <c r="A54" s="95">
        <v>393</v>
      </c>
      <c r="B54" s="95" t="s">
        <v>352</v>
      </c>
      <c r="C54" s="95" t="str">
        <f t="shared" si="0"/>
        <v>393-CHANSHARE SOD FARMS</v>
      </c>
      <c r="D54" s="99">
        <v>38896</v>
      </c>
    </row>
    <row r="55" spans="1:6" ht="15" customHeight="1" x14ac:dyDescent="0.25">
      <c r="A55" s="96">
        <v>1510</v>
      </c>
      <c r="B55" s="96" t="s">
        <v>133</v>
      </c>
      <c r="C55" s="95" t="str">
        <f t="shared" si="0"/>
        <v>1510-CITY CENTER SOUND AND STAGE</v>
      </c>
      <c r="D55" s="100">
        <v>42580</v>
      </c>
      <c r="E55" t="s">
        <v>109</v>
      </c>
      <c r="F55" t="s">
        <v>109</v>
      </c>
    </row>
    <row r="56" spans="1:6" ht="15" customHeight="1" x14ac:dyDescent="0.25">
      <c r="A56" s="96">
        <v>405</v>
      </c>
      <c r="B56" s="96" t="s">
        <v>353</v>
      </c>
      <c r="C56" s="95" t="str">
        <f t="shared" si="0"/>
        <v>405-CITY OF BOISE</v>
      </c>
      <c r="D56" s="100">
        <v>38216</v>
      </c>
    </row>
    <row r="57" spans="1:6" ht="15" customHeight="1" x14ac:dyDescent="0.25">
      <c r="A57" s="96">
        <v>406</v>
      </c>
      <c r="B57" s="96" t="s">
        <v>354</v>
      </c>
      <c r="C57" s="95" t="str">
        <f t="shared" si="0"/>
        <v>406-CITY OF BUHL</v>
      </c>
      <c r="D57" s="100">
        <v>38216</v>
      </c>
    </row>
    <row r="58" spans="1:6" ht="15" customHeight="1" x14ac:dyDescent="0.25">
      <c r="A58" s="96">
        <v>407</v>
      </c>
      <c r="B58" s="96" t="s">
        <v>355</v>
      </c>
      <c r="C58" s="95" t="str">
        <f t="shared" si="0"/>
        <v>407-CITY OF BURLEY</v>
      </c>
      <c r="D58" s="100">
        <v>38216</v>
      </c>
    </row>
    <row r="59" spans="1:6" ht="15" customHeight="1" x14ac:dyDescent="0.25">
      <c r="A59" s="96">
        <v>408</v>
      </c>
      <c r="B59" s="96" t="s">
        <v>356</v>
      </c>
      <c r="C59" s="95" t="str">
        <f t="shared" si="0"/>
        <v>408-CITY OF GOODING</v>
      </c>
      <c r="D59" s="100">
        <v>38216</v>
      </c>
    </row>
    <row r="60" spans="1:6" ht="15" customHeight="1" x14ac:dyDescent="0.25">
      <c r="A60" s="96">
        <v>409</v>
      </c>
      <c r="B60" s="96" t="s">
        <v>357</v>
      </c>
      <c r="C60" s="95" t="str">
        <f t="shared" si="0"/>
        <v>409-CITY OF MOUNTAIN HOME</v>
      </c>
      <c r="D60" s="100">
        <v>38243</v>
      </c>
    </row>
    <row r="61" spans="1:6" ht="15" customHeight="1" x14ac:dyDescent="0.25">
      <c r="A61" s="96">
        <v>410</v>
      </c>
      <c r="B61" s="96" t="s">
        <v>358</v>
      </c>
      <c r="C61" s="95" t="str">
        <f t="shared" si="0"/>
        <v>410-CITY OF NAMPA</v>
      </c>
      <c r="D61" s="100">
        <v>38216</v>
      </c>
    </row>
    <row r="62" spans="1:6" ht="15" customHeight="1" x14ac:dyDescent="0.25">
      <c r="A62" s="96">
        <v>1521</v>
      </c>
      <c r="B62" s="96" t="s">
        <v>359</v>
      </c>
      <c r="C62" s="95" t="str">
        <f t="shared" si="0"/>
        <v>1521-CJC TRUCKING LLC</v>
      </c>
      <c r="D62" s="100">
        <v>42664</v>
      </c>
      <c r="E62" t="s">
        <v>109</v>
      </c>
      <c r="F62" t="s">
        <v>109</v>
      </c>
    </row>
    <row r="63" spans="1:6" ht="15" customHeight="1" x14ac:dyDescent="0.25">
      <c r="A63" s="96">
        <v>1517</v>
      </c>
      <c r="B63" s="96" t="s">
        <v>360</v>
      </c>
      <c r="C63" s="95" t="str">
        <f t="shared" si="0"/>
        <v>1517-CLASSIC TRUCK LINES</v>
      </c>
      <c r="D63" s="100">
        <v>42621</v>
      </c>
      <c r="E63" t="s">
        <v>109</v>
      </c>
      <c r="F63" t="s">
        <v>109</v>
      </c>
    </row>
    <row r="64" spans="1:6" ht="15" customHeight="1" x14ac:dyDescent="0.25">
      <c r="A64" s="96">
        <v>1476</v>
      </c>
      <c r="B64" s="96" t="s">
        <v>361</v>
      </c>
      <c r="C64" s="95" t="str">
        <f t="shared" si="0"/>
        <v>1476-COLAIR INC</v>
      </c>
      <c r="D64" s="100">
        <v>42395</v>
      </c>
      <c r="E64" t="s">
        <v>109</v>
      </c>
      <c r="F64" t="s">
        <v>99</v>
      </c>
    </row>
    <row r="65" spans="1:6" ht="15" customHeight="1" x14ac:dyDescent="0.25">
      <c r="A65" s="95">
        <v>1328</v>
      </c>
      <c r="B65" s="95" t="s">
        <v>137</v>
      </c>
      <c r="C65" s="95" t="str">
        <f t="shared" si="0"/>
        <v>1328-CONSERVANCY OIL CO OF GJ INC</v>
      </c>
      <c r="D65" s="99">
        <v>41627</v>
      </c>
    </row>
    <row r="66" spans="1:6" ht="15" customHeight="1" x14ac:dyDescent="0.25">
      <c r="A66" s="95">
        <v>425</v>
      </c>
      <c r="B66" s="95" t="s">
        <v>139</v>
      </c>
      <c r="C66" s="95" t="str">
        <f t="shared" si="0"/>
        <v>425-CONSOLIDATED SUPPLY</v>
      </c>
      <c r="D66" s="99">
        <v>38393</v>
      </c>
    </row>
    <row r="67" spans="1:6" ht="15" customHeight="1" x14ac:dyDescent="0.25">
      <c r="A67" s="96">
        <v>427</v>
      </c>
      <c r="B67" s="96" t="s">
        <v>141</v>
      </c>
      <c r="C67" s="95" t="str">
        <f t="shared" si="0"/>
        <v>427-CONTEMPO CERAMIC TILE</v>
      </c>
      <c r="D67" s="100">
        <v>39105</v>
      </c>
    </row>
    <row r="68" spans="1:6" ht="15" customHeight="1" x14ac:dyDescent="0.25">
      <c r="A68" s="96">
        <v>1377</v>
      </c>
      <c r="B68" s="96" t="s">
        <v>362</v>
      </c>
      <c r="C68" s="95" t="str">
        <f t="shared" si="0"/>
        <v>1377-CORE MARK INTERNATIONAL INC</v>
      </c>
      <c r="D68" s="100">
        <v>41835</v>
      </c>
    </row>
    <row r="69" spans="1:6" ht="15" customHeight="1" x14ac:dyDescent="0.25">
      <c r="A69" s="95">
        <v>1310</v>
      </c>
      <c r="B69" s="95" t="s">
        <v>363</v>
      </c>
      <c r="C69" s="95" t="str">
        <f t="shared" si="0"/>
        <v>1310-COUGHLIN COMPANY INC</v>
      </c>
      <c r="D69" s="99">
        <v>41466</v>
      </c>
    </row>
    <row r="70" spans="1:6" ht="15" customHeight="1" x14ac:dyDescent="0.25">
      <c r="A70" s="95">
        <v>1522</v>
      </c>
      <c r="B70" s="95" t="s">
        <v>364</v>
      </c>
      <c r="C70" s="95" t="str">
        <f t="shared" si="0"/>
        <v>1522-COWAN SYSTEMS</v>
      </c>
      <c r="D70" s="99">
        <v>42662</v>
      </c>
      <c r="E70" t="s">
        <v>109</v>
      </c>
      <c r="F70" t="s">
        <v>99</v>
      </c>
    </row>
    <row r="71" spans="1:6" ht="15" customHeight="1" x14ac:dyDescent="0.25">
      <c r="A71" s="96">
        <v>1478</v>
      </c>
      <c r="B71" s="96" t="s">
        <v>365</v>
      </c>
      <c r="C71" s="95" t="str">
        <f t="shared" si="0"/>
        <v>1478-CROWN TRUCKING LLC</v>
      </c>
      <c r="D71" s="100">
        <v>42408</v>
      </c>
      <c r="E71" t="s">
        <v>109</v>
      </c>
      <c r="F71" t="s">
        <v>109</v>
      </c>
    </row>
    <row r="72" spans="1:6" ht="15" customHeight="1" x14ac:dyDescent="0.25">
      <c r="A72" s="95">
        <v>438</v>
      </c>
      <c r="B72" s="95" t="s">
        <v>146</v>
      </c>
      <c r="C72" s="95" t="str">
        <f t="shared" si="0"/>
        <v>438-CRUS INVESTMENT LLC</v>
      </c>
      <c r="D72" s="99">
        <v>38897</v>
      </c>
    </row>
    <row r="73" spans="1:6" ht="15" customHeight="1" x14ac:dyDescent="0.25">
      <c r="A73" s="96">
        <v>441</v>
      </c>
      <c r="B73" s="96" t="s">
        <v>366</v>
      </c>
      <c r="C73" s="95" t="str">
        <f t="shared" ref="C73:C136" si="1">A73&amp;"-"&amp;B73</f>
        <v>441-CUISINE UNLIMITED INC</v>
      </c>
      <c r="D73" s="100">
        <v>39800</v>
      </c>
    </row>
    <row r="74" spans="1:6" ht="15" customHeight="1" x14ac:dyDescent="0.25">
      <c r="A74" s="96">
        <v>1315</v>
      </c>
      <c r="B74" s="96" t="s">
        <v>367</v>
      </c>
      <c r="C74" s="95" t="str">
        <f t="shared" si="1"/>
        <v>1315-CULLIGAN WATER CONDITIONING</v>
      </c>
      <c r="D74" s="100">
        <v>41520</v>
      </c>
    </row>
    <row r="75" spans="1:6" ht="15" customHeight="1" x14ac:dyDescent="0.25">
      <c r="A75" s="96">
        <v>1257</v>
      </c>
      <c r="B75" s="96" t="s">
        <v>368</v>
      </c>
      <c r="C75" s="95" t="str">
        <f t="shared" si="1"/>
        <v>1257-D J TRUCK LEASING LLC</v>
      </c>
      <c r="D75" s="100">
        <v>40913</v>
      </c>
    </row>
    <row r="76" spans="1:6" ht="15" customHeight="1" x14ac:dyDescent="0.25">
      <c r="A76" s="96">
        <v>1464</v>
      </c>
      <c r="B76" s="96" t="s">
        <v>369</v>
      </c>
      <c r="C76" s="95" t="str">
        <f t="shared" si="1"/>
        <v>1464-DAILY DIRECT LLC</v>
      </c>
      <c r="D76" s="100">
        <v>42338</v>
      </c>
      <c r="E76" t="s">
        <v>109</v>
      </c>
      <c r="F76" t="s">
        <v>109</v>
      </c>
    </row>
    <row r="77" spans="1:6" ht="15" customHeight="1" x14ac:dyDescent="0.25">
      <c r="A77" s="95">
        <v>457</v>
      </c>
      <c r="B77" s="95" t="s">
        <v>370</v>
      </c>
      <c r="C77" s="95" t="str">
        <f t="shared" si="1"/>
        <v>457-DAL SOGLIO</v>
      </c>
      <c r="D77" s="99">
        <v>38994</v>
      </c>
    </row>
    <row r="78" spans="1:6" ht="15" customHeight="1" x14ac:dyDescent="0.25">
      <c r="A78" s="95">
        <v>1469</v>
      </c>
      <c r="B78" s="95" t="s">
        <v>371</v>
      </c>
      <c r="C78" s="95" t="str">
        <f t="shared" si="1"/>
        <v>1469-DAWS INC</v>
      </c>
      <c r="D78" s="99">
        <v>42359</v>
      </c>
      <c r="F78" t="s">
        <v>109</v>
      </c>
    </row>
    <row r="79" spans="1:6" ht="15" customHeight="1" x14ac:dyDescent="0.25">
      <c r="A79" s="96">
        <v>1260</v>
      </c>
      <c r="B79" s="96" t="s">
        <v>372</v>
      </c>
      <c r="C79" s="95" t="str">
        <f t="shared" si="1"/>
        <v>1260-DEUTSCH TRUCKING</v>
      </c>
      <c r="D79" s="100">
        <v>41141</v>
      </c>
    </row>
    <row r="80" spans="1:6" ht="15" customHeight="1" x14ac:dyDescent="0.25">
      <c r="A80" s="95">
        <v>1308</v>
      </c>
      <c r="B80" s="95" t="s">
        <v>151</v>
      </c>
      <c r="C80" s="95" t="str">
        <f t="shared" si="1"/>
        <v>1308-DONS FROZEN EXPRESS INC</v>
      </c>
      <c r="D80" s="99">
        <v>41458</v>
      </c>
    </row>
    <row r="81" spans="1:6" ht="15" customHeight="1" x14ac:dyDescent="0.25">
      <c r="A81" s="96">
        <v>30567</v>
      </c>
      <c r="B81" s="96" t="s">
        <v>373</v>
      </c>
      <c r="C81" s="95" t="str">
        <f t="shared" si="1"/>
        <v>30567-DOUBLE J TRANSPORT LLC</v>
      </c>
      <c r="D81" s="100">
        <v>41373</v>
      </c>
    </row>
    <row r="82" spans="1:6" ht="15" customHeight="1" x14ac:dyDescent="0.25">
      <c r="A82" s="95">
        <v>480</v>
      </c>
      <c r="B82" s="95" t="s">
        <v>374</v>
      </c>
      <c r="C82" s="95" t="str">
        <f t="shared" si="1"/>
        <v>480-DOUG ANDRUS INC</v>
      </c>
      <c r="D82" s="99">
        <v>38216</v>
      </c>
    </row>
    <row r="83" spans="1:6" ht="15" customHeight="1" x14ac:dyDescent="0.25">
      <c r="A83" s="96">
        <v>1296</v>
      </c>
      <c r="B83" s="96" t="s">
        <v>375</v>
      </c>
      <c r="C83" s="95" t="str">
        <f t="shared" si="1"/>
        <v>1296-DRAKE FARMS TRUCKING INC</v>
      </c>
      <c r="D83" s="100">
        <v>41372</v>
      </c>
    </row>
    <row r="84" spans="1:6" ht="15" customHeight="1" x14ac:dyDescent="0.25">
      <c r="A84" s="96">
        <v>1457</v>
      </c>
      <c r="B84" s="96" t="s">
        <v>376</v>
      </c>
      <c r="C84" s="95" t="str">
        <f t="shared" si="1"/>
        <v>1457-DUANE MARTIN LIVESTOCK</v>
      </c>
      <c r="D84" s="100">
        <v>42307</v>
      </c>
      <c r="F84" t="s">
        <v>109</v>
      </c>
    </row>
    <row r="85" spans="1:6" ht="15" customHeight="1" x14ac:dyDescent="0.25">
      <c r="A85" s="96">
        <v>1523</v>
      </c>
      <c r="B85" s="96" t="s">
        <v>377</v>
      </c>
      <c r="C85" s="95" t="str">
        <f t="shared" si="1"/>
        <v>1523-ED FRIESEN</v>
      </c>
      <c r="D85" s="100">
        <v>42667</v>
      </c>
      <c r="E85" t="s">
        <v>109</v>
      </c>
      <c r="F85" t="s">
        <v>109</v>
      </c>
    </row>
    <row r="86" spans="1:6" ht="15" customHeight="1" x14ac:dyDescent="0.25">
      <c r="A86" s="96">
        <v>487</v>
      </c>
      <c r="B86" s="96" t="s">
        <v>378</v>
      </c>
      <c r="C86" s="95" t="str">
        <f t="shared" si="1"/>
        <v>487-EDUTEK CORPORATION</v>
      </c>
      <c r="D86" s="100">
        <v>41575</v>
      </c>
    </row>
    <row r="87" spans="1:6" ht="15" customHeight="1" x14ac:dyDescent="0.25">
      <c r="A87" s="96">
        <v>1520</v>
      </c>
      <c r="B87" s="96" t="s">
        <v>153</v>
      </c>
      <c r="C87" s="95" t="str">
        <f t="shared" si="1"/>
        <v>1520-ELEVATION TRANSPORT</v>
      </c>
      <c r="D87" s="100">
        <v>42647</v>
      </c>
      <c r="E87" t="s">
        <v>109</v>
      </c>
      <c r="F87" t="s">
        <v>99</v>
      </c>
    </row>
    <row r="88" spans="1:6" ht="15" customHeight="1" x14ac:dyDescent="0.25">
      <c r="A88" s="96">
        <v>1487</v>
      </c>
      <c r="B88" s="96" t="s">
        <v>379</v>
      </c>
      <c r="C88" s="95" t="str">
        <f t="shared" si="1"/>
        <v>1487-EMH TRANSPORTATION</v>
      </c>
      <c r="D88" s="100">
        <v>42447</v>
      </c>
      <c r="E88" t="s">
        <v>109</v>
      </c>
      <c r="F88" t="s">
        <v>109</v>
      </c>
    </row>
    <row r="89" spans="1:6" ht="15" customHeight="1" x14ac:dyDescent="0.25">
      <c r="A89" s="96">
        <v>1355</v>
      </c>
      <c r="B89" s="96" t="s">
        <v>380</v>
      </c>
      <c r="C89" s="95" t="str">
        <f t="shared" si="1"/>
        <v>1355-EVANS GRADER AND PAVING INC</v>
      </c>
      <c r="D89" s="100">
        <v>41753</v>
      </c>
    </row>
    <row r="90" spans="1:6" ht="15" customHeight="1" x14ac:dyDescent="0.25">
      <c r="A90" s="96">
        <v>1530</v>
      </c>
      <c r="B90" s="96" t="s">
        <v>381</v>
      </c>
      <c r="C90" s="95" t="str">
        <f t="shared" si="1"/>
        <v>1530-EXACTLY GROUP INC</v>
      </c>
      <c r="D90" s="100">
        <v>42713</v>
      </c>
      <c r="E90" t="s">
        <v>109</v>
      </c>
      <c r="F90" t="s">
        <v>109</v>
      </c>
    </row>
    <row r="91" spans="1:6" ht="15" customHeight="1" x14ac:dyDescent="0.25">
      <c r="A91" s="95">
        <v>1402</v>
      </c>
      <c r="B91" s="95" t="s">
        <v>382</v>
      </c>
      <c r="C91" s="95" t="str">
        <f t="shared" si="1"/>
        <v>1402-EXEL INC</v>
      </c>
      <c r="D91" s="99">
        <v>41961</v>
      </c>
      <c r="F91" t="s">
        <v>73</v>
      </c>
    </row>
    <row r="92" spans="1:6" ht="15" customHeight="1" x14ac:dyDescent="0.25">
      <c r="A92" s="96">
        <v>485</v>
      </c>
      <c r="B92" s="96" t="s">
        <v>383</v>
      </c>
      <c r="C92" s="95" t="str">
        <f t="shared" si="1"/>
        <v>485-EZ II RENT TO OWN INC</v>
      </c>
      <c r="D92" s="100">
        <v>40945</v>
      </c>
    </row>
    <row r="93" spans="1:6" ht="15" customHeight="1" x14ac:dyDescent="0.25">
      <c r="A93" s="96">
        <v>1298</v>
      </c>
      <c r="B93" s="96" t="s">
        <v>384</v>
      </c>
      <c r="C93" s="95" t="str">
        <f t="shared" si="1"/>
        <v>1298-FADIGA TRUCKING</v>
      </c>
      <c r="D93" s="100">
        <v>42706</v>
      </c>
      <c r="E93" t="s">
        <v>109</v>
      </c>
      <c r="F93" t="s">
        <v>109</v>
      </c>
    </row>
    <row r="94" spans="1:6" ht="15" customHeight="1" x14ac:dyDescent="0.25">
      <c r="A94" s="96">
        <v>1391</v>
      </c>
      <c r="B94" s="96" t="s">
        <v>385</v>
      </c>
      <c r="C94" s="95" t="str">
        <f t="shared" si="1"/>
        <v>1391-FAST SHADOW TRUCKING LLC</v>
      </c>
      <c r="D94" s="100">
        <v>41906</v>
      </c>
    </row>
    <row r="95" spans="1:6" ht="15" customHeight="1" x14ac:dyDescent="0.25">
      <c r="A95" s="96">
        <v>1268</v>
      </c>
      <c r="B95" s="96" t="s">
        <v>386</v>
      </c>
      <c r="C95" s="95" t="str">
        <f t="shared" si="1"/>
        <v>1268-FAT DOG FOAM INC</v>
      </c>
      <c r="D95" s="100">
        <v>41193</v>
      </c>
    </row>
    <row r="96" spans="1:6" ht="15" customHeight="1" x14ac:dyDescent="0.25">
      <c r="A96" s="96">
        <v>1306</v>
      </c>
      <c r="B96" s="96" t="s">
        <v>161</v>
      </c>
      <c r="C96" s="95" t="str">
        <f t="shared" si="1"/>
        <v>1306-FLEXPAK INC</v>
      </c>
      <c r="D96" s="100">
        <v>41449</v>
      </c>
    </row>
    <row r="97" spans="1:6" ht="15" customHeight="1" x14ac:dyDescent="0.25">
      <c r="A97" s="95">
        <v>1390</v>
      </c>
      <c r="B97" s="95" t="s">
        <v>163</v>
      </c>
      <c r="C97" s="95" t="str">
        <f t="shared" si="1"/>
        <v>1390-FOOD EXPRESS INC</v>
      </c>
      <c r="D97" s="99">
        <v>41898</v>
      </c>
    </row>
    <row r="98" spans="1:6" ht="15" customHeight="1" x14ac:dyDescent="0.25">
      <c r="A98" s="102">
        <v>1259</v>
      </c>
      <c r="B98" s="102" t="s">
        <v>387</v>
      </c>
      <c r="C98" s="95" t="str">
        <f t="shared" si="1"/>
        <v>1259-FRANDSEN TRANSPORT</v>
      </c>
      <c r="D98" s="103">
        <v>41123</v>
      </c>
    </row>
    <row r="99" spans="1:6" ht="15" customHeight="1" x14ac:dyDescent="0.25">
      <c r="A99" s="96">
        <v>1401</v>
      </c>
      <c r="B99" s="96" t="s">
        <v>388</v>
      </c>
      <c r="C99" s="95" t="str">
        <f t="shared" si="1"/>
        <v>1401-FREEDOM TRUCKING, LLC</v>
      </c>
      <c r="D99" s="100">
        <v>41957</v>
      </c>
    </row>
    <row r="100" spans="1:6" ht="15" customHeight="1" x14ac:dyDescent="0.25">
      <c r="A100" s="95">
        <v>1364</v>
      </c>
      <c r="B100" s="95" t="s">
        <v>389</v>
      </c>
      <c r="C100" s="95" t="str">
        <f t="shared" si="1"/>
        <v>1364-FRESENIUS MEDICAL CARE</v>
      </c>
      <c r="D100" s="99">
        <v>41779</v>
      </c>
      <c r="F100" t="s">
        <v>109</v>
      </c>
    </row>
    <row r="101" spans="1:6" ht="15" customHeight="1" x14ac:dyDescent="0.25">
      <c r="A101" s="95">
        <v>1369</v>
      </c>
      <c r="B101" s="95" t="s">
        <v>166</v>
      </c>
      <c r="C101" s="95" t="str">
        <f t="shared" si="1"/>
        <v>1369-FRESENIUS MEDICAL DISTRIBUTION</v>
      </c>
      <c r="D101" s="99">
        <v>41809</v>
      </c>
      <c r="F101" t="s">
        <v>109</v>
      </c>
    </row>
    <row r="102" spans="1:6" ht="15" customHeight="1" x14ac:dyDescent="0.25">
      <c r="A102" s="102">
        <v>1289</v>
      </c>
      <c r="B102" s="102" t="s">
        <v>390</v>
      </c>
      <c r="C102" s="95" t="str">
        <f t="shared" si="1"/>
        <v>1289-G &amp; P TRUCKING INC</v>
      </c>
      <c r="D102" s="103">
        <v>41316</v>
      </c>
    </row>
    <row r="103" spans="1:6" ht="15" customHeight="1" x14ac:dyDescent="0.25">
      <c r="A103" s="96">
        <v>1425</v>
      </c>
      <c r="B103" s="96" t="s">
        <v>391</v>
      </c>
      <c r="C103" s="95" t="str">
        <f t="shared" si="1"/>
        <v>1425-G P L TRUCKING INC</v>
      </c>
      <c r="D103" s="100">
        <v>42074</v>
      </c>
    </row>
    <row r="104" spans="1:6" ht="15" customHeight="1" x14ac:dyDescent="0.25">
      <c r="A104" s="95">
        <v>515</v>
      </c>
      <c r="B104" s="95" t="s">
        <v>392</v>
      </c>
      <c r="C104" s="95" t="str">
        <f t="shared" si="1"/>
        <v>515-GALE STORER INC</v>
      </c>
      <c r="D104" s="99">
        <v>40290</v>
      </c>
    </row>
    <row r="105" spans="1:6" ht="15" customHeight="1" x14ac:dyDescent="0.25">
      <c r="A105" s="95">
        <v>1437</v>
      </c>
      <c r="B105" s="95" t="s">
        <v>168</v>
      </c>
      <c r="C105" s="95" t="str">
        <f t="shared" si="1"/>
        <v>1437-GENERAL DISTRIBUTING CO</v>
      </c>
      <c r="D105" s="99">
        <v>42184</v>
      </c>
    </row>
    <row r="106" spans="1:6" ht="15" customHeight="1" x14ac:dyDescent="0.25">
      <c r="A106" s="95">
        <v>1431</v>
      </c>
      <c r="B106" s="95" t="s">
        <v>169</v>
      </c>
      <c r="C106" s="95" t="str">
        <f t="shared" si="1"/>
        <v>1431-GLOBAL HEALTH INDUSTRIES</v>
      </c>
      <c r="D106" s="99">
        <v>42125</v>
      </c>
    </row>
    <row r="107" spans="1:6" ht="15" customHeight="1" x14ac:dyDescent="0.25">
      <c r="A107" s="95">
        <v>1447</v>
      </c>
      <c r="B107" s="95" t="s">
        <v>170</v>
      </c>
      <c r="C107" s="95" t="str">
        <f t="shared" si="1"/>
        <v>1447-GOLDEN GATE PETROLEUM</v>
      </c>
      <c r="D107" s="99">
        <v>42270</v>
      </c>
      <c r="F107" t="s">
        <v>109</v>
      </c>
    </row>
    <row r="108" spans="1:6" ht="15" customHeight="1" x14ac:dyDescent="0.25">
      <c r="A108" s="96">
        <v>1444</v>
      </c>
      <c r="B108" s="96" t="s">
        <v>393</v>
      </c>
      <c r="C108" s="95" t="str">
        <f t="shared" si="1"/>
        <v>1444-GOVISION LP</v>
      </c>
      <c r="D108" s="100">
        <v>42227</v>
      </c>
    </row>
    <row r="109" spans="1:6" ht="15" customHeight="1" x14ac:dyDescent="0.25">
      <c r="A109" s="95">
        <v>528</v>
      </c>
      <c r="B109" s="95" t="s">
        <v>394</v>
      </c>
      <c r="C109" s="95" t="str">
        <f t="shared" si="1"/>
        <v>528-GRAND JUNCTION PETERBILT</v>
      </c>
      <c r="D109" s="99">
        <v>39632</v>
      </c>
    </row>
    <row r="110" spans="1:6" ht="15" customHeight="1" x14ac:dyDescent="0.25">
      <c r="A110" s="96">
        <v>1354</v>
      </c>
      <c r="B110" s="96" t="s">
        <v>395</v>
      </c>
      <c r="C110" s="95" t="str">
        <f t="shared" si="1"/>
        <v>1354-GRAND TRANSPORT</v>
      </c>
      <c r="D110" s="100">
        <v>41752</v>
      </c>
    </row>
    <row r="111" spans="1:6" ht="15" customHeight="1" x14ac:dyDescent="0.25">
      <c r="A111" s="95">
        <v>1528</v>
      </c>
      <c r="B111" s="95" t="s">
        <v>396</v>
      </c>
      <c r="C111" s="95" t="str">
        <f t="shared" si="1"/>
        <v>1528-GREAT DANE OF UTAH INC</v>
      </c>
      <c r="D111" s="99">
        <v>42691</v>
      </c>
      <c r="E111" t="s">
        <v>109</v>
      </c>
      <c r="F111" t="s">
        <v>109</v>
      </c>
    </row>
    <row r="112" spans="1:6" ht="15" customHeight="1" x14ac:dyDescent="0.25">
      <c r="A112" s="95">
        <v>1529</v>
      </c>
      <c r="B112" s="95" t="s">
        <v>173</v>
      </c>
      <c r="C112" s="95" t="str">
        <f t="shared" si="1"/>
        <v>1529-G'S LOGISTICS INC</v>
      </c>
      <c r="D112" s="99">
        <v>42704</v>
      </c>
      <c r="E112" t="s">
        <v>109</v>
      </c>
      <c r="F112" t="s">
        <v>109</v>
      </c>
    </row>
    <row r="113" spans="1:6" ht="15" customHeight="1" x14ac:dyDescent="0.25">
      <c r="A113" s="96">
        <v>1463</v>
      </c>
      <c r="B113" s="96" t="s">
        <v>397</v>
      </c>
      <c r="C113" s="95" t="str">
        <f t="shared" si="1"/>
        <v>1463-H &amp; B TRANSPORT</v>
      </c>
      <c r="D113" s="100">
        <v>42333</v>
      </c>
      <c r="E113" t="s">
        <v>109</v>
      </c>
      <c r="F113" t="s">
        <v>109</v>
      </c>
    </row>
    <row r="114" spans="1:6" ht="15" customHeight="1" x14ac:dyDescent="0.25">
      <c r="A114" s="96">
        <v>1414</v>
      </c>
      <c r="B114" s="96" t="s">
        <v>398</v>
      </c>
      <c r="C114" s="95" t="str">
        <f t="shared" si="1"/>
        <v>1414-HANCOCK &amp; NORTHWESTERN</v>
      </c>
      <c r="D114" s="100">
        <v>42024</v>
      </c>
    </row>
    <row r="115" spans="1:6" ht="15" customHeight="1" x14ac:dyDescent="0.25">
      <c r="A115" s="96">
        <v>1505</v>
      </c>
      <c r="B115" s="96" t="s">
        <v>399</v>
      </c>
      <c r="C115" s="95" t="str">
        <f t="shared" si="1"/>
        <v>1505-HIGH DESERT PYRO LLC</v>
      </c>
      <c r="D115" s="100">
        <v>42548</v>
      </c>
      <c r="E115" t="s">
        <v>109</v>
      </c>
      <c r="F115" t="s">
        <v>109</v>
      </c>
    </row>
    <row r="116" spans="1:6" ht="15" customHeight="1" x14ac:dyDescent="0.25">
      <c r="A116" s="95">
        <v>545</v>
      </c>
      <c r="B116" s="95" t="s">
        <v>400</v>
      </c>
      <c r="C116" s="95" t="str">
        <f t="shared" si="1"/>
        <v>545-HOLMAN TRANSPORTATION S</v>
      </c>
      <c r="D116" s="99">
        <v>38216</v>
      </c>
    </row>
    <row r="117" spans="1:6" ht="15" customHeight="1" x14ac:dyDescent="0.25">
      <c r="A117" s="95">
        <v>556</v>
      </c>
      <c r="B117" s="95" t="s">
        <v>181</v>
      </c>
      <c r="C117" s="95" t="str">
        <f t="shared" si="1"/>
        <v>556-IDAHO FALLS PETERBILT</v>
      </c>
      <c r="D117" s="99">
        <v>38216</v>
      </c>
    </row>
    <row r="118" spans="1:6" ht="15" customHeight="1" x14ac:dyDescent="0.25">
      <c r="A118" s="95">
        <v>1527</v>
      </c>
      <c r="B118" s="95" t="s">
        <v>401</v>
      </c>
      <c r="C118" s="95" t="str">
        <f t="shared" si="1"/>
        <v>1527-IDAHO TRUCK COMPANY</v>
      </c>
      <c r="D118" s="99">
        <v>42683</v>
      </c>
      <c r="E118" t="s">
        <v>109</v>
      </c>
      <c r="F118" t="s">
        <v>109</v>
      </c>
    </row>
    <row r="119" spans="1:6" ht="15" customHeight="1" x14ac:dyDescent="0.25">
      <c r="A119" s="95">
        <v>1418</v>
      </c>
      <c r="B119" s="95" t="s">
        <v>183</v>
      </c>
      <c r="C119" s="95" t="str">
        <f t="shared" si="1"/>
        <v>1418-IDAHO TRUCK LINES INC</v>
      </c>
      <c r="D119" s="99">
        <v>42053</v>
      </c>
    </row>
    <row r="120" spans="1:6" ht="15" customHeight="1" x14ac:dyDescent="0.25">
      <c r="A120" s="96">
        <v>1231</v>
      </c>
      <c r="B120" s="96" t="s">
        <v>185</v>
      </c>
      <c r="C120" s="95" t="str">
        <f t="shared" si="1"/>
        <v>1231-IMX TRANSPORT</v>
      </c>
      <c r="D120" s="100">
        <v>41030</v>
      </c>
    </row>
    <row r="121" spans="1:6" ht="15" customHeight="1" x14ac:dyDescent="0.25">
      <c r="A121" s="96">
        <v>1494</v>
      </c>
      <c r="B121" s="96" t="s">
        <v>402</v>
      </c>
      <c r="C121" s="95" t="str">
        <f t="shared" si="1"/>
        <v>1494-INTERMOUNTAIN POWER SERVICE</v>
      </c>
      <c r="D121" s="100">
        <v>42487</v>
      </c>
      <c r="E121" t="s">
        <v>109</v>
      </c>
      <c r="F121" t="s">
        <v>99</v>
      </c>
    </row>
    <row r="122" spans="1:6" ht="15" customHeight="1" x14ac:dyDescent="0.25">
      <c r="A122" s="96">
        <v>1451</v>
      </c>
      <c r="B122" s="96" t="s">
        <v>403</v>
      </c>
      <c r="C122" s="95" t="str">
        <f t="shared" si="1"/>
        <v>1451-INTERNATIONAL FULFILLMENT</v>
      </c>
      <c r="D122" s="100">
        <v>42284</v>
      </c>
    </row>
    <row r="123" spans="1:6" ht="15" customHeight="1" x14ac:dyDescent="0.25">
      <c r="A123" s="96">
        <v>1458</v>
      </c>
      <c r="B123" s="96" t="s">
        <v>404</v>
      </c>
      <c r="C123" s="95" t="str">
        <f t="shared" si="1"/>
        <v>1458-INTERNATIONAL ISOTOPES INC</v>
      </c>
      <c r="D123" s="100">
        <v>42311</v>
      </c>
      <c r="F123" t="s">
        <v>99</v>
      </c>
    </row>
    <row r="124" spans="1:6" ht="15" customHeight="1" x14ac:dyDescent="0.25">
      <c r="A124" s="95">
        <v>1378</v>
      </c>
      <c r="B124" s="95" t="s">
        <v>188</v>
      </c>
      <c r="C124" s="95" t="str">
        <f t="shared" si="1"/>
        <v>1378-INTER-STATE OIL CO</v>
      </c>
      <c r="D124" s="99">
        <v>41836</v>
      </c>
    </row>
    <row r="125" spans="1:6" ht="15" customHeight="1" x14ac:dyDescent="0.25">
      <c r="A125" s="95">
        <v>1319</v>
      </c>
      <c r="B125" s="95" t="s">
        <v>405</v>
      </c>
      <c r="C125" s="95" t="str">
        <f t="shared" si="1"/>
        <v>1319-INTSEL STEEL WEST LLC</v>
      </c>
      <c r="D125" s="99">
        <v>41565</v>
      </c>
    </row>
    <row r="126" spans="1:6" ht="15" customHeight="1" x14ac:dyDescent="0.25">
      <c r="A126" s="95">
        <v>1322</v>
      </c>
      <c r="B126" s="95" t="s">
        <v>406</v>
      </c>
      <c r="C126" s="95" t="str">
        <f t="shared" si="1"/>
        <v>1322-ISAAC HOLDINGS INC</v>
      </c>
      <c r="D126" s="99">
        <v>41583</v>
      </c>
    </row>
    <row r="127" spans="1:6" ht="15" customHeight="1" x14ac:dyDescent="0.25">
      <c r="A127" s="96">
        <v>1419</v>
      </c>
      <c r="B127" s="96" t="s">
        <v>407</v>
      </c>
      <c r="C127" s="95" t="str">
        <f t="shared" si="1"/>
        <v>1419-J &amp; D ENTERPRISES INC</v>
      </c>
      <c r="D127" s="100">
        <v>42061</v>
      </c>
    </row>
    <row r="128" spans="1:6" ht="15" customHeight="1" x14ac:dyDescent="0.25">
      <c r="A128" s="96">
        <v>1518</v>
      </c>
      <c r="B128" s="96" t="s">
        <v>408</v>
      </c>
      <c r="C128" s="95" t="str">
        <f t="shared" si="1"/>
        <v>1518-J &amp; S EXPRESS</v>
      </c>
      <c r="D128" s="100">
        <v>42632</v>
      </c>
      <c r="E128" t="s">
        <v>109</v>
      </c>
      <c r="F128" t="s">
        <v>109</v>
      </c>
    </row>
    <row r="129" spans="1:6" ht="15" customHeight="1" x14ac:dyDescent="0.25">
      <c r="A129" s="96">
        <v>1508</v>
      </c>
      <c r="B129" s="96" t="s">
        <v>409</v>
      </c>
      <c r="C129" s="95" t="str">
        <f t="shared" si="1"/>
        <v>1508-JACK'S TIRE &amp; OIL</v>
      </c>
      <c r="D129" s="100">
        <v>42566</v>
      </c>
      <c r="E129" t="s">
        <v>99</v>
      </c>
      <c r="F129" t="s">
        <v>99</v>
      </c>
    </row>
    <row r="130" spans="1:6" ht="15" customHeight="1" x14ac:dyDescent="0.25">
      <c r="A130" s="95">
        <v>1397</v>
      </c>
      <c r="B130" s="95" t="s">
        <v>410</v>
      </c>
      <c r="C130" s="95" t="str">
        <f t="shared" si="1"/>
        <v>1397-JAMES H CLARK &amp; SON INC</v>
      </c>
      <c r="D130" s="99">
        <v>41934</v>
      </c>
    </row>
    <row r="131" spans="1:6" ht="15" customHeight="1" x14ac:dyDescent="0.25">
      <c r="A131" s="95">
        <v>583</v>
      </c>
      <c r="B131" s="95" t="s">
        <v>411</v>
      </c>
      <c r="C131" s="95" t="str">
        <f t="shared" si="1"/>
        <v>583-JBG FLEXIBLE LLC</v>
      </c>
      <c r="D131" s="99">
        <v>39189</v>
      </c>
    </row>
    <row r="132" spans="1:6" ht="15" customHeight="1" x14ac:dyDescent="0.25">
      <c r="A132" s="95">
        <v>1429</v>
      </c>
      <c r="B132" s="95" t="s">
        <v>412</v>
      </c>
      <c r="C132" s="95" t="str">
        <f t="shared" si="1"/>
        <v>1429-JD BOYD TRANSPORT LLC</v>
      </c>
      <c r="D132" s="99">
        <v>42104</v>
      </c>
    </row>
    <row r="133" spans="1:6" ht="15" customHeight="1" x14ac:dyDescent="0.25">
      <c r="A133" s="95">
        <v>584</v>
      </c>
      <c r="B133" s="95" t="s">
        <v>193</v>
      </c>
      <c r="C133" s="95" t="str">
        <f t="shared" si="1"/>
        <v>584-JEROME PETERBILT</v>
      </c>
      <c r="D133" s="99">
        <v>40576</v>
      </c>
    </row>
    <row r="134" spans="1:6" ht="15" customHeight="1" x14ac:dyDescent="0.25">
      <c r="A134" s="95">
        <v>1386</v>
      </c>
      <c r="B134" s="95" t="s">
        <v>413</v>
      </c>
      <c r="C134" s="95" t="str">
        <f t="shared" si="1"/>
        <v>1386-JIM WILKIN TRUCKING LLC</v>
      </c>
      <c r="D134" s="99">
        <v>41884</v>
      </c>
    </row>
    <row r="135" spans="1:6" ht="15" customHeight="1" x14ac:dyDescent="0.25">
      <c r="A135" s="96">
        <v>1512</v>
      </c>
      <c r="B135" s="96" t="s">
        <v>194</v>
      </c>
      <c r="C135" s="95" t="str">
        <f t="shared" si="1"/>
        <v>1512-JOHANSEN CONSTRUCTION INC</v>
      </c>
      <c r="D135" s="100">
        <v>42593</v>
      </c>
      <c r="E135" t="s">
        <v>109</v>
      </c>
      <c r="F135" t="s">
        <v>109</v>
      </c>
    </row>
    <row r="136" spans="1:6" ht="15" customHeight="1" x14ac:dyDescent="0.25">
      <c r="A136" s="96">
        <v>1443</v>
      </c>
      <c r="B136" s="96" t="s">
        <v>414</v>
      </c>
      <c r="C136" s="95" t="str">
        <f t="shared" si="1"/>
        <v>1443-JONES BROTHERS TRUCKING LLC</v>
      </c>
      <c r="D136" s="100">
        <v>42209</v>
      </c>
    </row>
    <row r="137" spans="1:6" ht="15" customHeight="1" x14ac:dyDescent="0.25">
      <c r="A137" s="96">
        <v>1233</v>
      </c>
      <c r="B137" s="96" t="s">
        <v>195</v>
      </c>
      <c r="C137" s="95" t="str">
        <f t="shared" ref="C137:C200" si="2">A137&amp;"-"&amp;B137</f>
        <v>1233-KARL MAJORS LLC</v>
      </c>
      <c r="D137" s="100">
        <v>41002</v>
      </c>
    </row>
    <row r="138" spans="1:6" ht="15" customHeight="1" x14ac:dyDescent="0.25">
      <c r="A138" s="96">
        <v>1456</v>
      </c>
      <c r="B138" s="96" t="s">
        <v>415</v>
      </c>
      <c r="C138" s="95" t="str">
        <f t="shared" si="2"/>
        <v>1456-KBC TRANSPORT LLC</v>
      </c>
      <c r="D138" s="100">
        <v>42304</v>
      </c>
    </row>
    <row r="139" spans="1:6" ht="15" customHeight="1" x14ac:dyDescent="0.25">
      <c r="A139" s="96">
        <v>1407</v>
      </c>
      <c r="B139" s="96" t="s">
        <v>416</v>
      </c>
      <c r="C139" s="95" t="str">
        <f t="shared" si="2"/>
        <v>1407-KEITH HENDRICKS TRUCKING LLC</v>
      </c>
      <c r="D139" s="100">
        <v>41989</v>
      </c>
    </row>
    <row r="140" spans="1:6" ht="15" customHeight="1" x14ac:dyDescent="0.25">
      <c r="A140" s="95">
        <v>1299</v>
      </c>
      <c r="B140" s="95" t="s">
        <v>417</v>
      </c>
      <c r="C140" s="95" t="str">
        <f t="shared" si="2"/>
        <v>1299-KELLERSTRASS ENTERPRISES INC</v>
      </c>
      <c r="D140" s="99">
        <v>41397</v>
      </c>
    </row>
    <row r="141" spans="1:6" ht="15" customHeight="1" x14ac:dyDescent="0.25">
      <c r="A141" s="95">
        <v>1475</v>
      </c>
      <c r="B141" s="95" t="s">
        <v>196</v>
      </c>
      <c r="C141" s="95" t="str">
        <f t="shared" si="2"/>
        <v>1475-KENAN</v>
      </c>
      <c r="D141" s="99">
        <v>42381</v>
      </c>
      <c r="E141" t="s">
        <v>109</v>
      </c>
      <c r="F141" t="s">
        <v>99</v>
      </c>
    </row>
    <row r="142" spans="1:6" ht="15" customHeight="1" x14ac:dyDescent="0.25">
      <c r="A142" s="95">
        <v>1406</v>
      </c>
      <c r="B142" s="95" t="s">
        <v>418</v>
      </c>
      <c r="C142" s="95" t="str">
        <f t="shared" si="2"/>
        <v>1406-KENWORTH PACLEASE</v>
      </c>
      <c r="D142" s="99">
        <v>41988</v>
      </c>
    </row>
    <row r="143" spans="1:6" ht="15" customHeight="1" x14ac:dyDescent="0.25">
      <c r="A143" s="96">
        <v>1278</v>
      </c>
      <c r="B143" s="96" t="s">
        <v>419</v>
      </c>
      <c r="C143" s="95" t="str">
        <f t="shared" si="2"/>
        <v>1278-KEVIN LAABS</v>
      </c>
      <c r="D143" s="100">
        <v>41253</v>
      </c>
    </row>
    <row r="144" spans="1:6" ht="15" customHeight="1" x14ac:dyDescent="0.25">
      <c r="A144" s="95">
        <v>1404</v>
      </c>
      <c r="B144" s="95" t="s">
        <v>420</v>
      </c>
      <c r="C144" s="95" t="str">
        <f t="shared" si="2"/>
        <v>1404-KILGORE COMPANIES</v>
      </c>
      <c r="D144" s="99">
        <v>41976</v>
      </c>
    </row>
    <row r="145" spans="1:6" ht="15" customHeight="1" x14ac:dyDescent="0.25">
      <c r="A145" s="97">
        <v>1435</v>
      </c>
      <c r="B145" s="97" t="s">
        <v>421</v>
      </c>
      <c r="C145" s="95" t="str">
        <f t="shared" si="2"/>
        <v>1435-KKW TRUCKING INC</v>
      </c>
      <c r="D145" s="101">
        <v>42170</v>
      </c>
      <c r="F145" t="s">
        <v>99</v>
      </c>
    </row>
    <row r="146" spans="1:6" ht="15" customHeight="1" x14ac:dyDescent="0.25">
      <c r="A146" s="96">
        <v>1507</v>
      </c>
      <c r="B146" s="96" t="s">
        <v>422</v>
      </c>
      <c r="C146" s="95" t="str">
        <f t="shared" si="2"/>
        <v>1507-KOPF LEASING INC</v>
      </c>
      <c r="D146" s="100">
        <v>42562</v>
      </c>
      <c r="E146" t="s">
        <v>109</v>
      </c>
      <c r="F146" t="s">
        <v>109</v>
      </c>
    </row>
    <row r="147" spans="1:6" ht="15" customHeight="1" x14ac:dyDescent="0.25">
      <c r="A147" s="96">
        <v>1428</v>
      </c>
      <c r="B147" s="96" t="s">
        <v>423</v>
      </c>
      <c r="C147" s="95" t="str">
        <f t="shared" si="2"/>
        <v>1428-KRIS WAY TRUCK LEASING INC</v>
      </c>
      <c r="D147" s="100">
        <v>42094</v>
      </c>
    </row>
    <row r="148" spans="1:6" ht="15" customHeight="1" x14ac:dyDescent="0.25">
      <c r="A148" s="96">
        <v>1468</v>
      </c>
      <c r="B148" s="96" t="s">
        <v>424</v>
      </c>
      <c r="C148" s="95" t="str">
        <f t="shared" si="2"/>
        <v>1468-KUTZNER ELLIOTT TRUCKING</v>
      </c>
      <c r="D148" s="100">
        <v>42356</v>
      </c>
      <c r="E148" t="s">
        <v>109</v>
      </c>
      <c r="F148" t="s">
        <v>109</v>
      </c>
    </row>
    <row r="149" spans="1:6" ht="15" customHeight="1" x14ac:dyDescent="0.25">
      <c r="A149" s="95">
        <v>1452</v>
      </c>
      <c r="B149" s="95" t="s">
        <v>203</v>
      </c>
      <c r="C149" s="95" t="str">
        <f t="shared" si="2"/>
        <v>1452-LAND VIEW INC</v>
      </c>
      <c r="D149" s="99">
        <v>42290</v>
      </c>
    </row>
    <row r="150" spans="1:6" ht="15" customHeight="1" x14ac:dyDescent="0.25">
      <c r="A150" s="96">
        <v>1373</v>
      </c>
      <c r="B150" s="96" t="s">
        <v>425</v>
      </c>
      <c r="C150" s="95" t="str">
        <f t="shared" si="2"/>
        <v>1373-LANGFORD ROOFING INC</v>
      </c>
      <c r="D150" s="100">
        <v>41828</v>
      </c>
    </row>
    <row r="151" spans="1:6" ht="15" customHeight="1" x14ac:dyDescent="0.25">
      <c r="A151" s="96">
        <v>1347</v>
      </c>
      <c r="B151" s="96" t="s">
        <v>426</v>
      </c>
      <c r="C151" s="95" t="str">
        <f t="shared" si="2"/>
        <v>1347-LARSEN TRANSPORTATION LLC</v>
      </c>
      <c r="D151" s="100">
        <v>41696</v>
      </c>
    </row>
    <row r="152" spans="1:6" ht="15" customHeight="1" x14ac:dyDescent="0.25">
      <c r="A152" s="96">
        <v>1493</v>
      </c>
      <c r="B152" s="96" t="s">
        <v>427</v>
      </c>
      <c r="C152" s="95" t="str">
        <f t="shared" si="2"/>
        <v>1493-LASER INDUSTRIAL CLEANING INC</v>
      </c>
      <c r="D152" s="100">
        <v>42486</v>
      </c>
      <c r="E152" t="s">
        <v>109</v>
      </c>
      <c r="F152" t="s">
        <v>109</v>
      </c>
    </row>
    <row r="153" spans="1:6" ht="15" customHeight="1" x14ac:dyDescent="0.25">
      <c r="A153" s="96">
        <v>1301</v>
      </c>
      <c r="B153" s="96" t="s">
        <v>428</v>
      </c>
      <c r="C153" s="95" t="str">
        <f t="shared" si="2"/>
        <v>1301-LAYTON CONSTRUCTION</v>
      </c>
      <c r="D153" s="100">
        <v>41422</v>
      </c>
    </row>
    <row r="154" spans="1:6" ht="15" customHeight="1" x14ac:dyDescent="0.25">
      <c r="A154" s="102">
        <v>1500</v>
      </c>
      <c r="B154" s="102" t="s">
        <v>429</v>
      </c>
      <c r="C154" s="95" t="str">
        <f t="shared" si="2"/>
        <v xml:space="preserve">1500-LECKINGTON EXPRESS </v>
      </c>
      <c r="D154" s="103">
        <v>42527</v>
      </c>
      <c r="E154" t="s">
        <v>109</v>
      </c>
      <c r="F154" t="s">
        <v>109</v>
      </c>
    </row>
    <row r="155" spans="1:6" ht="15" customHeight="1" x14ac:dyDescent="0.25">
      <c r="A155" s="95">
        <v>1381</v>
      </c>
      <c r="B155" s="95" t="s">
        <v>208</v>
      </c>
      <c r="C155" s="95" t="str">
        <f t="shared" si="2"/>
        <v>1381-LIBERTY PRESS TRANSPORT LLC</v>
      </c>
      <c r="D155" s="99">
        <v>41859</v>
      </c>
    </row>
    <row r="156" spans="1:6" ht="15" customHeight="1" x14ac:dyDescent="0.25">
      <c r="A156" s="96">
        <v>1372</v>
      </c>
      <c r="B156" s="96" t="s">
        <v>430</v>
      </c>
      <c r="C156" s="95" t="str">
        <f t="shared" si="2"/>
        <v>1372-LIBERTY TIRE RECYCLING LLC</v>
      </c>
      <c r="D156" s="100">
        <v>41817</v>
      </c>
    </row>
    <row r="157" spans="1:6" ht="15" customHeight="1" x14ac:dyDescent="0.25">
      <c r="A157" s="97">
        <v>1491</v>
      </c>
      <c r="B157" s="97" t="s">
        <v>431</v>
      </c>
      <c r="C157" s="95" t="str">
        <f t="shared" si="2"/>
        <v>1491-LITTLE MOO CATTLE</v>
      </c>
      <c r="D157" s="101">
        <v>42468</v>
      </c>
      <c r="E157" t="s">
        <v>109</v>
      </c>
      <c r="F157" t="s">
        <v>109</v>
      </c>
    </row>
    <row r="158" spans="1:6" ht="15" customHeight="1" x14ac:dyDescent="0.25">
      <c r="A158" s="96">
        <v>1339</v>
      </c>
      <c r="B158" s="96" t="s">
        <v>432</v>
      </c>
      <c r="C158" s="95" t="str">
        <f t="shared" si="2"/>
        <v>1339-LOAD N GO</v>
      </c>
      <c r="D158" s="100">
        <v>41653</v>
      </c>
    </row>
    <row r="159" spans="1:6" ht="15" customHeight="1" x14ac:dyDescent="0.25">
      <c r="A159" s="95">
        <v>1415</v>
      </c>
      <c r="B159" s="95" t="s">
        <v>433</v>
      </c>
      <c r="C159" s="95" t="str">
        <f t="shared" si="2"/>
        <v>1415-LOANSTAR LEASING INC</v>
      </c>
      <c r="D159" s="99">
        <v>42024</v>
      </c>
    </row>
    <row r="160" spans="1:6" ht="15" customHeight="1" x14ac:dyDescent="0.25">
      <c r="A160" s="96">
        <v>1265</v>
      </c>
      <c r="B160" s="96" t="s">
        <v>434</v>
      </c>
      <c r="C160" s="95" t="str">
        <f t="shared" si="2"/>
        <v>1265-LONGWALL WEST INC</v>
      </c>
      <c r="D160" s="100">
        <v>42601</v>
      </c>
      <c r="E160" t="s">
        <v>109</v>
      </c>
      <c r="F160" t="s">
        <v>109</v>
      </c>
    </row>
    <row r="161" spans="1:6" ht="15" customHeight="1" x14ac:dyDescent="0.25">
      <c r="A161" s="96">
        <v>1470</v>
      </c>
      <c r="B161" s="96" t="s">
        <v>435</v>
      </c>
      <c r="C161" s="95" t="str">
        <f t="shared" si="2"/>
        <v>1470-LUNA'S CONSTRUCTION CLEAN UP INC</v>
      </c>
      <c r="D161" s="100">
        <v>42366</v>
      </c>
      <c r="E161" t="s">
        <v>109</v>
      </c>
      <c r="F161" t="s">
        <v>109</v>
      </c>
    </row>
    <row r="162" spans="1:6" ht="15" customHeight="1" x14ac:dyDescent="0.25">
      <c r="A162" s="95">
        <v>1269</v>
      </c>
      <c r="B162" s="95" t="s">
        <v>436</v>
      </c>
      <c r="C162" s="95" t="str">
        <f t="shared" si="2"/>
        <v>1269-LW MILLER TRANSPORT</v>
      </c>
      <c r="D162" s="99">
        <v>41193</v>
      </c>
    </row>
    <row r="163" spans="1:6" ht="15" customHeight="1" x14ac:dyDescent="0.25">
      <c r="A163" s="96">
        <v>1439</v>
      </c>
      <c r="B163" s="96" t="s">
        <v>212</v>
      </c>
      <c r="C163" s="95" t="str">
        <f t="shared" si="2"/>
        <v>1439-M E I RIGGING &amp; CRATING LLC</v>
      </c>
      <c r="D163" s="100">
        <v>42195</v>
      </c>
    </row>
    <row r="164" spans="1:6" ht="15" customHeight="1" x14ac:dyDescent="0.25">
      <c r="A164" s="96">
        <v>1430</v>
      </c>
      <c r="B164" s="96" t="s">
        <v>437</v>
      </c>
      <c r="C164" s="95" t="str">
        <f t="shared" si="2"/>
        <v>1430-M K S CONTRACTORS INC</v>
      </c>
      <c r="D164" s="100">
        <v>42115</v>
      </c>
    </row>
    <row r="165" spans="1:6" ht="15" customHeight="1" x14ac:dyDescent="0.25">
      <c r="A165" s="96">
        <v>1516</v>
      </c>
      <c r="B165" s="96" t="s">
        <v>438</v>
      </c>
      <c r="C165" s="95" t="str">
        <f t="shared" si="2"/>
        <v>1516-MACARTHUR CO DBA INSULATION DIST</v>
      </c>
      <c r="D165" s="100">
        <v>42621</v>
      </c>
      <c r="E165" t="s">
        <v>109</v>
      </c>
      <c r="F165" t="s">
        <v>109</v>
      </c>
    </row>
    <row r="166" spans="1:6" ht="15" customHeight="1" x14ac:dyDescent="0.25">
      <c r="A166" s="97">
        <v>1485</v>
      </c>
      <c r="B166" s="97" t="s">
        <v>439</v>
      </c>
      <c r="C166" s="95" t="str">
        <f t="shared" si="2"/>
        <v>1485-MASCARO ASPHALT EXPRESS</v>
      </c>
      <c r="D166" s="101">
        <v>42433</v>
      </c>
      <c r="E166" t="s">
        <v>109</v>
      </c>
      <c r="F166" t="s">
        <v>109</v>
      </c>
    </row>
    <row r="167" spans="1:6" ht="15" customHeight="1" x14ac:dyDescent="0.25">
      <c r="A167" s="95">
        <v>1283</v>
      </c>
      <c r="B167" s="95" t="s">
        <v>440</v>
      </c>
      <c r="C167" s="95" t="str">
        <f t="shared" si="2"/>
        <v>1283-MAVERIK INC</v>
      </c>
      <c r="D167" s="99">
        <v>41302</v>
      </c>
    </row>
    <row r="168" spans="1:6" ht="15" customHeight="1" x14ac:dyDescent="0.25">
      <c r="A168" s="95">
        <v>693</v>
      </c>
      <c r="B168" s="95" t="s">
        <v>215</v>
      </c>
      <c r="C168" s="95" t="str">
        <f t="shared" si="2"/>
        <v>693-MAXAM US LLC</v>
      </c>
      <c r="D168" s="99">
        <v>38733</v>
      </c>
    </row>
    <row r="169" spans="1:6" ht="15" customHeight="1" x14ac:dyDescent="0.25">
      <c r="A169" s="95">
        <v>697</v>
      </c>
      <c r="B169" s="95" t="s">
        <v>441</v>
      </c>
      <c r="C169" s="95" t="str">
        <f t="shared" si="2"/>
        <v>697-MAY TRUCKING CO</v>
      </c>
      <c r="D169" s="99">
        <v>38216</v>
      </c>
    </row>
    <row r="170" spans="1:6" ht="15" customHeight="1" x14ac:dyDescent="0.25">
      <c r="A170" s="96">
        <v>1453</v>
      </c>
      <c r="B170" s="96" t="s">
        <v>442</v>
      </c>
      <c r="C170" s="95" t="str">
        <f t="shared" si="2"/>
        <v>1453-MCFARLAND FAMILY FARMS</v>
      </c>
      <c r="D170" s="100">
        <v>42292</v>
      </c>
      <c r="E170" t="s">
        <v>109</v>
      </c>
      <c r="F170" t="s">
        <v>109</v>
      </c>
    </row>
    <row r="171" spans="1:6" ht="15" customHeight="1" x14ac:dyDescent="0.25">
      <c r="A171" s="95">
        <v>1454</v>
      </c>
      <c r="B171" s="95" t="s">
        <v>220</v>
      </c>
      <c r="C171" s="95" t="str">
        <f t="shared" si="2"/>
        <v>1454-MIDWEST FLOOR COVERINGS INC</v>
      </c>
      <c r="D171" s="99">
        <v>42292</v>
      </c>
      <c r="E171" t="s">
        <v>109</v>
      </c>
      <c r="F171" t="s">
        <v>99</v>
      </c>
    </row>
    <row r="172" spans="1:6" ht="15" customHeight="1" x14ac:dyDescent="0.25">
      <c r="A172" s="96">
        <v>1424</v>
      </c>
      <c r="B172" s="96" t="s">
        <v>443</v>
      </c>
      <c r="C172" s="95" t="str">
        <f t="shared" si="2"/>
        <v>1424-MIKE FROST TRUCKING INC</v>
      </c>
      <c r="D172" s="100">
        <v>42072</v>
      </c>
    </row>
    <row r="173" spans="1:6" ht="15" customHeight="1" x14ac:dyDescent="0.25">
      <c r="A173" s="95">
        <v>1357</v>
      </c>
      <c r="B173" s="95" t="s">
        <v>444</v>
      </c>
      <c r="C173" s="95" t="str">
        <f t="shared" si="2"/>
        <v>1357-MILE HI FOODS</v>
      </c>
      <c r="D173" s="99">
        <v>41758</v>
      </c>
    </row>
    <row r="174" spans="1:6" ht="15" customHeight="1" x14ac:dyDescent="0.25">
      <c r="A174" s="96">
        <v>1326</v>
      </c>
      <c r="B174" s="96" t="s">
        <v>445</v>
      </c>
      <c r="C174" s="95" t="str">
        <f t="shared" si="2"/>
        <v>1326-MILLARD COUNTY ROAD DEPT</v>
      </c>
      <c r="D174" s="100">
        <v>41625</v>
      </c>
    </row>
    <row r="175" spans="1:6" ht="15" customHeight="1" x14ac:dyDescent="0.25">
      <c r="A175" s="95">
        <v>730</v>
      </c>
      <c r="B175" s="95" t="s">
        <v>446</v>
      </c>
      <c r="C175" s="95" t="str">
        <f t="shared" si="2"/>
        <v>730-MILLER BROTHERS EXPRESS</v>
      </c>
      <c r="D175" s="99">
        <v>38216</v>
      </c>
    </row>
    <row r="176" spans="1:6" ht="15" customHeight="1" x14ac:dyDescent="0.25">
      <c r="A176" s="95">
        <v>1408</v>
      </c>
      <c r="B176" s="95" t="s">
        <v>447</v>
      </c>
      <c r="C176" s="95" t="str">
        <f t="shared" si="2"/>
        <v>1408-MOAB BREWERS LLC</v>
      </c>
      <c r="D176" s="99">
        <v>41990</v>
      </c>
    </row>
    <row r="177" spans="1:6" ht="15" customHeight="1" x14ac:dyDescent="0.25">
      <c r="A177" s="95">
        <v>1471</v>
      </c>
      <c r="B177" s="95" t="s">
        <v>222</v>
      </c>
      <c r="C177" s="95" t="str">
        <f t="shared" si="2"/>
        <v>1471-MODEL LINEN INC</v>
      </c>
      <c r="D177" s="99">
        <v>42368</v>
      </c>
      <c r="E177" t="s">
        <v>109</v>
      </c>
      <c r="F177" t="s">
        <v>109</v>
      </c>
    </row>
    <row r="178" spans="1:6" ht="15" customHeight="1" x14ac:dyDescent="0.25">
      <c r="A178" s="95">
        <v>740</v>
      </c>
      <c r="B178" s="95" t="s">
        <v>448</v>
      </c>
      <c r="C178" s="95" t="str">
        <f t="shared" si="2"/>
        <v>740-MODERN DISPLAY SERVICES</v>
      </c>
      <c r="D178" s="99">
        <v>38982</v>
      </c>
    </row>
    <row r="179" spans="1:6" ht="15" customHeight="1" x14ac:dyDescent="0.25">
      <c r="A179" s="96">
        <v>1421</v>
      </c>
      <c r="B179" s="96" t="s">
        <v>224</v>
      </c>
      <c r="C179" s="95" t="str">
        <f t="shared" si="2"/>
        <v>1421-MODERN TRANSPORTATION LLC</v>
      </c>
      <c r="D179" s="100">
        <v>42066</v>
      </c>
      <c r="F179" t="s">
        <v>99</v>
      </c>
    </row>
    <row r="180" spans="1:6" ht="15" customHeight="1" x14ac:dyDescent="0.25">
      <c r="A180" s="95">
        <v>746</v>
      </c>
      <c r="B180" s="95" t="s">
        <v>449</v>
      </c>
      <c r="C180" s="95" t="str">
        <f t="shared" si="2"/>
        <v>746-MORMON TABERNACLE CHOIR</v>
      </c>
      <c r="D180" s="99">
        <v>39232</v>
      </c>
    </row>
    <row r="181" spans="1:6" ht="15" customHeight="1" x14ac:dyDescent="0.25">
      <c r="A181" s="96">
        <v>1436</v>
      </c>
      <c r="B181" s="96" t="s">
        <v>450</v>
      </c>
      <c r="C181" s="95" t="str">
        <f t="shared" si="2"/>
        <v>1436-MOUNTAIN CREST CABINET INC</v>
      </c>
      <c r="D181" s="100">
        <v>42177</v>
      </c>
    </row>
    <row r="182" spans="1:6" ht="15" customHeight="1" x14ac:dyDescent="0.25">
      <c r="A182" s="95">
        <v>1285</v>
      </c>
      <c r="B182" s="95" t="s">
        <v>228</v>
      </c>
      <c r="C182" s="95" t="str">
        <f t="shared" si="2"/>
        <v>1285-MUIR ENTERPRISES INC</v>
      </c>
      <c r="D182" s="99">
        <v>41304</v>
      </c>
    </row>
    <row r="183" spans="1:6" ht="15" customHeight="1" x14ac:dyDescent="0.25">
      <c r="A183" s="104">
        <v>1499</v>
      </c>
      <c r="B183" s="104" t="s">
        <v>451</v>
      </c>
      <c r="C183" s="95" t="str">
        <f t="shared" si="2"/>
        <v>1499-NARLI TRUCKING LLC</v>
      </c>
      <c r="D183" s="105">
        <v>42522</v>
      </c>
      <c r="E183" t="s">
        <v>109</v>
      </c>
      <c r="F183" t="s">
        <v>109</v>
      </c>
    </row>
    <row r="184" spans="1:6" ht="15" customHeight="1" x14ac:dyDescent="0.25">
      <c r="A184" s="96">
        <v>1519</v>
      </c>
      <c r="B184" s="96" t="s">
        <v>229</v>
      </c>
      <c r="C184" s="95" t="str">
        <f t="shared" si="2"/>
        <v>1519-NATIONALEASE OF UTAH</v>
      </c>
      <c r="D184" s="100">
        <v>42634</v>
      </c>
      <c r="E184" t="s">
        <v>99</v>
      </c>
      <c r="F184" t="s">
        <v>99</v>
      </c>
    </row>
    <row r="185" spans="1:6" ht="15" customHeight="1" x14ac:dyDescent="0.25">
      <c r="A185" s="106">
        <v>1503</v>
      </c>
      <c r="B185" s="106" t="s">
        <v>230</v>
      </c>
      <c r="C185" s="95" t="str">
        <f t="shared" si="2"/>
        <v>1503-NELSON &amp; SONS INC</v>
      </c>
      <c r="D185" s="107">
        <v>42538</v>
      </c>
      <c r="E185" t="s">
        <v>109</v>
      </c>
      <c r="F185" t="s">
        <v>109</v>
      </c>
    </row>
    <row r="186" spans="1:6" ht="15" customHeight="1" x14ac:dyDescent="0.25">
      <c r="A186" s="96">
        <v>1329</v>
      </c>
      <c r="B186" s="96" t="s">
        <v>452</v>
      </c>
      <c r="C186" s="95" t="str">
        <f t="shared" si="2"/>
        <v>1329-NORTH AMERICAN TRAILER LLC</v>
      </c>
      <c r="D186" s="100">
        <v>41634</v>
      </c>
    </row>
    <row r="187" spans="1:6" ht="15" customHeight="1" x14ac:dyDescent="0.25">
      <c r="A187" s="96">
        <v>1330</v>
      </c>
      <c r="B187" s="96" t="s">
        <v>233</v>
      </c>
      <c r="C187" s="95" t="str">
        <f t="shared" si="2"/>
        <v>1330-OASIS STAGE WERKS INC</v>
      </c>
      <c r="D187" s="100">
        <v>41634</v>
      </c>
    </row>
    <row r="188" spans="1:6" ht="15" customHeight="1" x14ac:dyDescent="0.25">
      <c r="A188" s="96">
        <v>1400</v>
      </c>
      <c r="B188" s="96" t="s">
        <v>453</v>
      </c>
      <c r="C188" s="95" t="str">
        <f t="shared" si="2"/>
        <v>1400-OL GREG TRANSPORT</v>
      </c>
      <c r="D188" s="100">
        <v>41948</v>
      </c>
    </row>
    <row r="189" spans="1:6" ht="15" customHeight="1" x14ac:dyDescent="0.25">
      <c r="A189" s="95">
        <v>1279</v>
      </c>
      <c r="B189" s="95" t="s">
        <v>454</v>
      </c>
      <c r="C189" s="95" t="str">
        <f t="shared" si="2"/>
        <v>1279-ORBITAL A T K INC</v>
      </c>
      <c r="D189" s="99">
        <v>41271</v>
      </c>
    </row>
    <row r="190" spans="1:6" ht="15" customHeight="1" x14ac:dyDescent="0.25">
      <c r="A190" s="96">
        <v>1358</v>
      </c>
      <c r="B190" s="96" t="s">
        <v>237</v>
      </c>
      <c r="C190" s="95" t="str">
        <f t="shared" si="2"/>
        <v>1358-OTTO LOGISTICS OF COLORADO LLC</v>
      </c>
      <c r="D190" s="100">
        <v>41758</v>
      </c>
    </row>
    <row r="191" spans="1:6" ht="15" customHeight="1" x14ac:dyDescent="0.25">
      <c r="A191" s="96">
        <v>1335</v>
      </c>
      <c r="B191" s="96" t="s">
        <v>455</v>
      </c>
      <c r="C191" s="95" t="str">
        <f t="shared" si="2"/>
        <v>1335-P T TRANSFER</v>
      </c>
      <c r="D191" s="100">
        <v>41649</v>
      </c>
    </row>
    <row r="192" spans="1:6" ht="15" customHeight="1" x14ac:dyDescent="0.25">
      <c r="A192" s="95">
        <v>1340</v>
      </c>
      <c r="B192" s="95" t="s">
        <v>456</v>
      </c>
      <c r="C192" s="95" t="str">
        <f t="shared" si="2"/>
        <v>1340-PACCAR TECH CENTER - P030</v>
      </c>
      <c r="D192" s="99">
        <v>41667</v>
      </c>
    </row>
    <row r="193" spans="1:6" ht="15" customHeight="1" x14ac:dyDescent="0.25">
      <c r="A193" s="95">
        <v>802</v>
      </c>
      <c r="B193" s="95" t="s">
        <v>240</v>
      </c>
      <c r="C193" s="95" t="str">
        <f t="shared" si="2"/>
        <v>802-PACCENTRAL</v>
      </c>
      <c r="D193" s="99">
        <v>38520</v>
      </c>
      <c r="F193" t="s">
        <v>99</v>
      </c>
    </row>
    <row r="194" spans="1:6" ht="15" customHeight="1" x14ac:dyDescent="0.25">
      <c r="A194" s="96">
        <v>1495</v>
      </c>
      <c r="B194" s="96" t="s">
        <v>457</v>
      </c>
      <c r="C194" s="95" t="str">
        <f t="shared" si="2"/>
        <v>1495-PALMER VENTURES</v>
      </c>
      <c r="D194" s="100">
        <v>42489</v>
      </c>
      <c r="E194" t="s">
        <v>109</v>
      </c>
      <c r="F194" t="s">
        <v>109</v>
      </c>
    </row>
    <row r="195" spans="1:6" ht="15" customHeight="1" x14ac:dyDescent="0.25">
      <c r="A195" s="95">
        <v>1313</v>
      </c>
      <c r="B195" s="95" t="s">
        <v>458</v>
      </c>
      <c r="C195" s="95" t="str">
        <f t="shared" si="2"/>
        <v>1313-PAPA JOHNS SALADS AND PRODUCE</v>
      </c>
      <c r="D195" s="99">
        <v>41501</v>
      </c>
    </row>
    <row r="196" spans="1:6" ht="15" customHeight="1" x14ac:dyDescent="0.25">
      <c r="A196" s="95">
        <v>823</v>
      </c>
      <c r="B196" s="95" t="s">
        <v>245</v>
      </c>
      <c r="C196" s="95" t="str">
        <f t="shared" si="2"/>
        <v>823-PAT PIERSON TRUCKING IN</v>
      </c>
      <c r="D196" s="99">
        <v>40553</v>
      </c>
    </row>
    <row r="197" spans="1:6" ht="15" customHeight="1" x14ac:dyDescent="0.25">
      <c r="A197" s="95">
        <v>824</v>
      </c>
      <c r="B197" s="95" t="s">
        <v>459</v>
      </c>
      <c r="C197" s="95" t="str">
        <f t="shared" si="2"/>
        <v>824-PAUL TERRY TRUCKING</v>
      </c>
      <c r="D197" s="99">
        <v>39302</v>
      </c>
    </row>
    <row r="198" spans="1:6" ht="15" customHeight="1" x14ac:dyDescent="0.25">
      <c r="A198" s="95">
        <v>1426</v>
      </c>
      <c r="B198" s="95" t="s">
        <v>246</v>
      </c>
      <c r="C198" s="95" t="str">
        <f t="shared" si="2"/>
        <v>1426-PCS TRUCKING</v>
      </c>
      <c r="D198" s="99">
        <v>42089</v>
      </c>
    </row>
    <row r="199" spans="1:6" ht="15" customHeight="1" x14ac:dyDescent="0.25">
      <c r="A199" s="96">
        <v>828</v>
      </c>
      <c r="B199" s="96" t="s">
        <v>460</v>
      </c>
      <c r="C199" s="95" t="str">
        <f t="shared" si="2"/>
        <v>828-PECZUH PRINTING CO</v>
      </c>
      <c r="D199" s="100">
        <v>39574</v>
      </c>
      <c r="E199" t="s">
        <v>109</v>
      </c>
      <c r="F199" t="s">
        <v>109</v>
      </c>
    </row>
    <row r="200" spans="1:6" ht="15" customHeight="1" x14ac:dyDescent="0.25">
      <c r="A200" s="95">
        <v>838</v>
      </c>
      <c r="B200" s="95" t="s">
        <v>461</v>
      </c>
      <c r="C200" s="95" t="str">
        <f t="shared" si="2"/>
        <v>838-PERSPECTIVES IMAGING</v>
      </c>
      <c r="D200" s="99">
        <v>38713</v>
      </c>
    </row>
    <row r="201" spans="1:6" ht="15" customHeight="1" x14ac:dyDescent="0.25">
      <c r="A201" s="95">
        <v>840</v>
      </c>
      <c r="B201" s="95" t="s">
        <v>248</v>
      </c>
      <c r="C201" s="95" t="str">
        <f t="shared" ref="C201:C264" si="3">A201&amp;"-"&amp;B201</f>
        <v>840-PETERBILT MOTORS</v>
      </c>
      <c r="D201" s="99">
        <v>38216</v>
      </c>
    </row>
    <row r="202" spans="1:6" ht="15" customHeight="1" x14ac:dyDescent="0.25">
      <c r="A202" s="95">
        <v>847</v>
      </c>
      <c r="B202" s="95" t="s">
        <v>249</v>
      </c>
      <c r="C202" s="95" t="str">
        <f t="shared" si="3"/>
        <v>847-PETERBILT OF UTAH</v>
      </c>
      <c r="D202" s="99">
        <v>38909</v>
      </c>
    </row>
    <row r="203" spans="1:6" ht="15" customHeight="1" x14ac:dyDescent="0.25">
      <c r="A203" s="95">
        <v>860</v>
      </c>
      <c r="B203" s="95" t="s">
        <v>462</v>
      </c>
      <c r="C203" s="95" t="str">
        <f t="shared" si="3"/>
        <v>860-PICARD - STEP SAVERS</v>
      </c>
      <c r="D203" s="99">
        <v>42284</v>
      </c>
    </row>
    <row r="204" spans="1:6" ht="15" customHeight="1" x14ac:dyDescent="0.25">
      <c r="A204" s="96">
        <v>1427</v>
      </c>
      <c r="B204" s="96" t="s">
        <v>250</v>
      </c>
      <c r="C204" s="95" t="str">
        <f t="shared" si="3"/>
        <v>1427-PICTSWEET COMPANY</v>
      </c>
      <c r="D204" s="100">
        <v>42093</v>
      </c>
    </row>
    <row r="205" spans="1:6" ht="15" customHeight="1" x14ac:dyDescent="0.25">
      <c r="A205" s="96">
        <v>1524</v>
      </c>
      <c r="B205" s="96" t="s">
        <v>463</v>
      </c>
      <c r="C205" s="95" t="str">
        <f t="shared" si="3"/>
        <v>1524-PILOT TRAVEL CENTERS</v>
      </c>
      <c r="D205" s="100">
        <v>42671</v>
      </c>
      <c r="E205" t="s">
        <v>99</v>
      </c>
      <c r="F205" t="s">
        <v>99</v>
      </c>
    </row>
    <row r="206" spans="1:6" ht="15" customHeight="1" x14ac:dyDescent="0.25">
      <c r="A206" s="96">
        <v>1446</v>
      </c>
      <c r="B206" s="96" t="s">
        <v>464</v>
      </c>
      <c r="C206" s="95" t="str">
        <f t="shared" si="3"/>
        <v>1446-PINEAE GREENHOUSE</v>
      </c>
      <c r="D206" s="100">
        <v>42255</v>
      </c>
    </row>
    <row r="207" spans="1:6" ht="15" customHeight="1" x14ac:dyDescent="0.25">
      <c r="A207" s="95">
        <v>864</v>
      </c>
      <c r="B207" s="95" t="s">
        <v>465</v>
      </c>
      <c r="C207" s="95" t="str">
        <f t="shared" si="3"/>
        <v>864-POLL SOUND</v>
      </c>
      <c r="D207" s="99">
        <v>39225</v>
      </c>
    </row>
    <row r="208" spans="1:6" ht="15" customHeight="1" x14ac:dyDescent="0.25">
      <c r="A208" s="96">
        <v>1410</v>
      </c>
      <c r="B208" s="96" t="s">
        <v>466</v>
      </c>
      <c r="C208" s="95" t="str">
        <f t="shared" si="3"/>
        <v>1410-POND CONCRETE CONSTRUCTION INC</v>
      </c>
      <c r="D208" s="100">
        <v>42006</v>
      </c>
    </row>
    <row r="209" spans="1:6" ht="15" customHeight="1" x14ac:dyDescent="0.25">
      <c r="A209" s="96">
        <v>1526</v>
      </c>
      <c r="B209" s="96" t="s">
        <v>467</v>
      </c>
      <c r="C209" s="95" t="str">
        <f t="shared" si="3"/>
        <v>1526-PREMIUM DISTRIBUTION</v>
      </c>
      <c r="D209" s="100">
        <v>42681</v>
      </c>
      <c r="E209" t="s">
        <v>109</v>
      </c>
      <c r="F209" t="s">
        <v>109</v>
      </c>
    </row>
    <row r="210" spans="1:6" ht="15" customHeight="1" x14ac:dyDescent="0.25">
      <c r="A210" s="95">
        <v>1434</v>
      </c>
      <c r="B210" s="95" t="s">
        <v>468</v>
      </c>
      <c r="C210" s="95" t="str">
        <f t="shared" si="3"/>
        <v>1434-PRICE CONTAINER &amp; PACKAGING CORP</v>
      </c>
      <c r="D210" s="99">
        <v>42164</v>
      </c>
    </row>
    <row r="211" spans="1:6" ht="15" customHeight="1" x14ac:dyDescent="0.25">
      <c r="A211" s="95">
        <v>1270</v>
      </c>
      <c r="B211" s="95" t="s">
        <v>469</v>
      </c>
      <c r="C211" s="95" t="str">
        <f t="shared" si="3"/>
        <v>1270-PRIDE TRANSPORT</v>
      </c>
      <c r="D211" s="99">
        <v>41193</v>
      </c>
    </row>
    <row r="212" spans="1:6" ht="15" customHeight="1" x14ac:dyDescent="0.25">
      <c r="A212" s="95">
        <v>881</v>
      </c>
      <c r="B212" s="95" t="s">
        <v>252</v>
      </c>
      <c r="C212" s="95" t="str">
        <f t="shared" si="3"/>
        <v>881-PROFESSIONAL FLOORING SUPPLY</v>
      </c>
      <c r="D212" s="99">
        <v>41097</v>
      </c>
    </row>
    <row r="213" spans="1:6" ht="15" customHeight="1" x14ac:dyDescent="0.25">
      <c r="A213" s="96">
        <v>1245</v>
      </c>
      <c r="B213" s="96" t="s">
        <v>253</v>
      </c>
      <c r="C213" s="95" t="str">
        <f t="shared" si="3"/>
        <v>1245-PROTECH COATINGS INC</v>
      </c>
      <c r="D213" s="100">
        <v>40998</v>
      </c>
    </row>
    <row r="214" spans="1:6" ht="15" customHeight="1" x14ac:dyDescent="0.25">
      <c r="A214" s="95">
        <v>887</v>
      </c>
      <c r="B214" s="95" t="s">
        <v>470</v>
      </c>
      <c r="C214" s="95" t="str">
        <f t="shared" si="3"/>
        <v>887-PURPLE SAGE TRUCKING</v>
      </c>
      <c r="D214" s="99">
        <v>38216</v>
      </c>
    </row>
    <row r="215" spans="1:6" ht="15" customHeight="1" x14ac:dyDescent="0.25">
      <c r="A215" s="96">
        <v>1367</v>
      </c>
      <c r="B215" s="96" t="s">
        <v>255</v>
      </c>
      <c r="C215" s="95" t="str">
        <f t="shared" si="3"/>
        <v>1367-QUALITY MEATS INC</v>
      </c>
      <c r="D215" s="100">
        <v>41806</v>
      </c>
    </row>
    <row r="216" spans="1:6" ht="15" customHeight="1" x14ac:dyDescent="0.25">
      <c r="A216" s="96">
        <v>1449</v>
      </c>
      <c r="B216" s="96" t="s">
        <v>471</v>
      </c>
      <c r="C216" s="95" t="str">
        <f t="shared" si="3"/>
        <v>1449-R 3 TRUCKING LLC</v>
      </c>
      <c r="D216" s="100">
        <v>42277</v>
      </c>
    </row>
    <row r="217" spans="1:6" ht="15" customHeight="1" x14ac:dyDescent="0.25">
      <c r="A217" s="97">
        <v>1488</v>
      </c>
      <c r="B217" s="97" t="s">
        <v>472</v>
      </c>
      <c r="C217" s="95" t="str">
        <f t="shared" si="3"/>
        <v>1488-RAIL SCALE</v>
      </c>
      <c r="D217" s="101">
        <v>42454</v>
      </c>
    </row>
    <row r="218" spans="1:6" ht="15" customHeight="1" x14ac:dyDescent="0.25">
      <c r="A218" s="96">
        <v>1346</v>
      </c>
      <c r="B218" s="96" t="s">
        <v>473</v>
      </c>
      <c r="C218" s="95" t="str">
        <f t="shared" si="3"/>
        <v>1346-RED TRANSPORT</v>
      </c>
      <c r="D218" s="100">
        <v>41696</v>
      </c>
    </row>
    <row r="219" spans="1:6" ht="15" customHeight="1" x14ac:dyDescent="0.25">
      <c r="A219" s="96">
        <v>1490</v>
      </c>
      <c r="B219" s="96" t="s">
        <v>474</v>
      </c>
      <c r="C219" s="95" t="str">
        <f t="shared" si="3"/>
        <v>1490-REDDY ICE CORPORATION</v>
      </c>
      <c r="D219" s="100">
        <v>42461</v>
      </c>
      <c r="E219" t="s">
        <v>109</v>
      </c>
      <c r="F219" t="s">
        <v>99</v>
      </c>
    </row>
    <row r="220" spans="1:6" ht="15" customHeight="1" x14ac:dyDescent="0.25">
      <c r="A220" s="96">
        <v>1460</v>
      </c>
      <c r="B220" s="96" t="s">
        <v>475</v>
      </c>
      <c r="C220" s="95" t="str">
        <f t="shared" si="3"/>
        <v>1460-RELIABLE TRANSPORTATION INC</v>
      </c>
      <c r="D220" s="100">
        <v>42314</v>
      </c>
    </row>
    <row r="221" spans="1:6" ht="15" customHeight="1" x14ac:dyDescent="0.25">
      <c r="A221" s="96">
        <v>1459</v>
      </c>
      <c r="B221" s="96" t="s">
        <v>476</v>
      </c>
      <c r="C221" s="95" t="str">
        <f t="shared" si="3"/>
        <v>1459-RETZKO TRUCKING LLC</v>
      </c>
      <c r="D221" s="100">
        <v>42314</v>
      </c>
    </row>
    <row r="222" spans="1:6" ht="15" customHeight="1" x14ac:dyDescent="0.25">
      <c r="A222" s="96">
        <v>1376</v>
      </c>
      <c r="B222" s="96" t="s">
        <v>477</v>
      </c>
      <c r="C222" s="95" t="str">
        <f t="shared" si="3"/>
        <v>1376-RICHARDSON NURSERY</v>
      </c>
      <c r="D222" s="100">
        <v>41831</v>
      </c>
    </row>
    <row r="223" spans="1:6" ht="15" customHeight="1" x14ac:dyDescent="0.25">
      <c r="A223" s="96">
        <v>1287</v>
      </c>
      <c r="B223" s="96" t="s">
        <v>478</v>
      </c>
      <c r="C223" s="95" t="str">
        <f t="shared" si="3"/>
        <v>1287-RICHERS TRUCKING</v>
      </c>
      <c r="D223" s="100">
        <v>41311</v>
      </c>
    </row>
    <row r="224" spans="1:6" ht="15" customHeight="1" x14ac:dyDescent="0.25">
      <c r="A224" s="96">
        <v>1403</v>
      </c>
      <c r="B224" s="96" t="s">
        <v>479</v>
      </c>
      <c r="C224" s="95" t="str">
        <f t="shared" si="3"/>
        <v>1403-RIDLEYS FOOD CORPORATION</v>
      </c>
      <c r="D224" s="100">
        <v>41969</v>
      </c>
    </row>
    <row r="225" spans="1:6" ht="15" customHeight="1" x14ac:dyDescent="0.25">
      <c r="A225" s="96">
        <v>1467</v>
      </c>
      <c r="B225" s="96" t="s">
        <v>480</v>
      </c>
      <c r="C225" s="95" t="str">
        <f t="shared" si="3"/>
        <v>1467-RIGTRUP EGG FARM LLC</v>
      </c>
      <c r="D225" s="100">
        <v>42354</v>
      </c>
      <c r="E225" t="s">
        <v>109</v>
      </c>
      <c r="F225" t="s">
        <v>109</v>
      </c>
    </row>
    <row r="226" spans="1:6" ht="15" customHeight="1" x14ac:dyDescent="0.25">
      <c r="A226" s="96">
        <v>1382</v>
      </c>
      <c r="B226" s="96" t="s">
        <v>481</v>
      </c>
      <c r="C226" s="95" t="str">
        <f t="shared" si="3"/>
        <v>1382-ROCKY MOUNTAIN ACCESSORIES CENTER LLC</v>
      </c>
      <c r="D226" s="100">
        <v>41863</v>
      </c>
    </row>
    <row r="227" spans="1:6" ht="15" customHeight="1" x14ac:dyDescent="0.25">
      <c r="A227" s="95">
        <v>1385</v>
      </c>
      <c r="B227" s="95" t="s">
        <v>482</v>
      </c>
      <c r="C227" s="95" t="str">
        <f t="shared" si="3"/>
        <v>1385-ROCKY MOUNTAIN CHOCOLATE FACTORY</v>
      </c>
      <c r="D227" s="99">
        <v>41880</v>
      </c>
    </row>
    <row r="228" spans="1:6" ht="15" customHeight="1" x14ac:dyDescent="0.25">
      <c r="A228" s="96">
        <v>944</v>
      </c>
      <c r="B228" s="96" t="s">
        <v>483</v>
      </c>
      <c r="C228" s="95" t="str">
        <f t="shared" si="3"/>
        <v>944-ROCKY MOUNTAIN PIES</v>
      </c>
      <c r="D228" s="100">
        <v>39022</v>
      </c>
    </row>
    <row r="229" spans="1:6" ht="15" customHeight="1" x14ac:dyDescent="0.25">
      <c r="A229" s="96">
        <v>1422</v>
      </c>
      <c r="B229" s="96" t="s">
        <v>484</v>
      </c>
      <c r="C229" s="95" t="str">
        <f t="shared" si="3"/>
        <v>1422-ROCKY MOUNTAIN SUPPLY INC</v>
      </c>
      <c r="D229" s="100">
        <v>42066</v>
      </c>
    </row>
    <row r="230" spans="1:6" ht="15" customHeight="1" x14ac:dyDescent="0.25">
      <c r="A230" s="96">
        <v>1477</v>
      </c>
      <c r="B230" s="96" t="s">
        <v>485</v>
      </c>
      <c r="C230" s="95" t="str">
        <f t="shared" si="3"/>
        <v>1477-ROSALIO LLAMAS</v>
      </c>
      <c r="D230" s="100">
        <v>42403</v>
      </c>
      <c r="E230" t="s">
        <v>109</v>
      </c>
      <c r="F230" t="s">
        <v>109</v>
      </c>
    </row>
    <row r="231" spans="1:6" ht="15" customHeight="1" x14ac:dyDescent="0.25">
      <c r="A231" s="96">
        <v>1423</v>
      </c>
      <c r="B231" s="96" t="s">
        <v>263</v>
      </c>
      <c r="C231" s="95" t="str">
        <f t="shared" si="3"/>
        <v>1423-ROU TRANSPORTATION LLC</v>
      </c>
      <c r="D231" s="100">
        <v>42069</v>
      </c>
    </row>
    <row r="232" spans="1:6" ht="15" customHeight="1" x14ac:dyDescent="0.25">
      <c r="A232" s="96">
        <v>1511</v>
      </c>
      <c r="B232" s="96" t="s">
        <v>486</v>
      </c>
      <c r="C232" s="95" t="str">
        <f t="shared" si="3"/>
        <v>1511-RTE SERVICES LLC</v>
      </c>
      <c r="D232" s="100">
        <v>42592</v>
      </c>
      <c r="E232" t="s">
        <v>109</v>
      </c>
      <c r="F232" t="s">
        <v>109</v>
      </c>
    </row>
    <row r="233" spans="1:6" ht="15" customHeight="1" x14ac:dyDescent="0.25">
      <c r="A233" s="96">
        <v>1411</v>
      </c>
      <c r="B233" s="96" t="s">
        <v>265</v>
      </c>
      <c r="C233" s="95" t="str">
        <f t="shared" si="3"/>
        <v>1411-RUBY DOME INC</v>
      </c>
      <c r="D233" s="100">
        <v>42011</v>
      </c>
    </row>
    <row r="234" spans="1:6" ht="15" customHeight="1" x14ac:dyDescent="0.25">
      <c r="A234" s="95">
        <v>1286</v>
      </c>
      <c r="B234" s="95" t="s">
        <v>266</v>
      </c>
      <c r="C234" s="95" t="str">
        <f t="shared" si="3"/>
        <v>1286-RUBY MTN NATURAL SPRING WATER</v>
      </c>
      <c r="D234" s="99">
        <v>41304</v>
      </c>
    </row>
    <row r="235" spans="1:6" s="108" customFormat="1" ht="15" customHeight="1" x14ac:dyDescent="0.25">
      <c r="A235" s="96">
        <v>1502</v>
      </c>
      <c r="B235" s="96" t="s">
        <v>487</v>
      </c>
      <c r="C235" s="95" t="str">
        <f t="shared" si="3"/>
        <v>1502-RUSH TRUCK - PICO RIVERA</v>
      </c>
      <c r="D235" s="100">
        <v>42537</v>
      </c>
      <c r="F235" s="108" t="s">
        <v>99</v>
      </c>
    </row>
    <row r="236" spans="1:6" s="108" customFormat="1" ht="15" customHeight="1" x14ac:dyDescent="0.25">
      <c r="A236" s="96">
        <v>1368</v>
      </c>
      <c r="B236" s="96" t="s">
        <v>267</v>
      </c>
      <c r="C236" s="95" t="str">
        <f t="shared" si="3"/>
        <v>1368-RUSH TRUCK LEASING</v>
      </c>
      <c r="D236" s="100">
        <v>41807</v>
      </c>
      <c r="F236" s="108" t="s">
        <v>99</v>
      </c>
    </row>
    <row r="237" spans="1:6" ht="15" customHeight="1" x14ac:dyDescent="0.25">
      <c r="A237" s="96">
        <v>964</v>
      </c>
      <c r="B237" s="96" t="s">
        <v>267</v>
      </c>
      <c r="C237" s="95" t="str">
        <f t="shared" si="3"/>
        <v>964-RUSH TRUCK LEASING</v>
      </c>
      <c r="D237" s="100">
        <v>40294</v>
      </c>
      <c r="F237" t="s">
        <v>99</v>
      </c>
    </row>
    <row r="238" spans="1:6" ht="15" customHeight="1" x14ac:dyDescent="0.25">
      <c r="A238" s="96">
        <v>563</v>
      </c>
      <c r="B238" s="96" t="s">
        <v>267</v>
      </c>
      <c r="C238" s="95" t="str">
        <f t="shared" si="3"/>
        <v>563-RUSH TRUCK LEASING</v>
      </c>
      <c r="D238" s="100">
        <v>38756</v>
      </c>
      <c r="F238" t="s">
        <v>99</v>
      </c>
    </row>
    <row r="239" spans="1:6" ht="15" customHeight="1" x14ac:dyDescent="0.25">
      <c r="A239" s="96">
        <v>1366</v>
      </c>
      <c r="B239" s="96" t="s">
        <v>488</v>
      </c>
      <c r="C239" s="95" t="str">
        <f t="shared" si="3"/>
        <v>1366-SAT COM</v>
      </c>
      <c r="D239" s="100">
        <v>41794</v>
      </c>
    </row>
    <row r="240" spans="1:6" ht="15" customHeight="1" x14ac:dyDescent="0.25">
      <c r="A240" s="96">
        <v>1365</v>
      </c>
      <c r="B240" s="96" t="s">
        <v>489</v>
      </c>
      <c r="C240" s="95" t="str">
        <f t="shared" si="3"/>
        <v>1365-SCHAEFFER INDUSTRIES</v>
      </c>
      <c r="D240" s="100">
        <v>41782</v>
      </c>
    </row>
    <row r="241" spans="1:6" ht="15" customHeight="1" x14ac:dyDescent="0.25">
      <c r="A241" s="96">
        <v>991</v>
      </c>
      <c r="B241" s="96" t="s">
        <v>490</v>
      </c>
      <c r="C241" s="95" t="str">
        <f t="shared" si="3"/>
        <v>991-SCHULZ TRANSPORTATION</v>
      </c>
      <c r="D241" s="100">
        <v>38771</v>
      </c>
    </row>
    <row r="242" spans="1:6" ht="15" customHeight="1" x14ac:dyDescent="0.25">
      <c r="A242" s="96">
        <v>1334</v>
      </c>
      <c r="B242" s="96" t="s">
        <v>491</v>
      </c>
      <c r="C242" s="95" t="str">
        <f t="shared" si="3"/>
        <v>1334-SEARLE TRUCKING</v>
      </c>
      <c r="D242" s="100">
        <v>41649</v>
      </c>
    </row>
    <row r="243" spans="1:6" ht="15" customHeight="1" x14ac:dyDescent="0.25">
      <c r="A243" s="96">
        <v>1001</v>
      </c>
      <c r="B243" s="96" t="s">
        <v>492</v>
      </c>
      <c r="C243" s="95" t="str">
        <f t="shared" si="3"/>
        <v>1001-SERVICE PARTNERS LLC</v>
      </c>
      <c r="D243" s="100">
        <v>40626</v>
      </c>
    </row>
    <row r="244" spans="1:6" ht="15" customHeight="1" x14ac:dyDescent="0.25">
      <c r="A244" s="96">
        <v>1384</v>
      </c>
      <c r="B244" s="96" t="s">
        <v>493</v>
      </c>
      <c r="C244" s="95" t="str">
        <f t="shared" si="3"/>
        <v>1384-SEVIER VALLEY TRANSPORTATION LLC</v>
      </c>
      <c r="D244" s="100">
        <v>41866</v>
      </c>
    </row>
    <row r="245" spans="1:6" ht="15" customHeight="1" x14ac:dyDescent="0.25">
      <c r="A245" s="95">
        <v>1312</v>
      </c>
      <c r="B245" s="95" t="s">
        <v>494</v>
      </c>
      <c r="C245" s="95" t="str">
        <f t="shared" si="3"/>
        <v>1312-SINCLAIR TRUCKING CO</v>
      </c>
      <c r="D245" s="99">
        <v>41477</v>
      </c>
    </row>
    <row r="246" spans="1:6" ht="15" customHeight="1" x14ac:dyDescent="0.25">
      <c r="A246" s="95">
        <v>1016</v>
      </c>
      <c r="B246" s="95" t="s">
        <v>495</v>
      </c>
      <c r="C246" s="95" t="str">
        <f t="shared" si="3"/>
        <v>1016-SIX STATES DIST</v>
      </c>
      <c r="D246" s="99">
        <v>38216</v>
      </c>
    </row>
    <row r="247" spans="1:6" ht="15" customHeight="1" x14ac:dyDescent="0.25">
      <c r="A247" s="95">
        <v>1026</v>
      </c>
      <c r="B247" s="95" t="s">
        <v>496</v>
      </c>
      <c r="C247" s="95" t="str">
        <f t="shared" si="3"/>
        <v>1026-SNOWBIRD SKI &amp; SUMMER R</v>
      </c>
      <c r="D247" s="99">
        <v>39240</v>
      </c>
    </row>
    <row r="248" spans="1:6" ht="15" customHeight="1" x14ac:dyDescent="0.25">
      <c r="A248" s="95">
        <v>1489</v>
      </c>
      <c r="B248" s="95" t="s">
        <v>497</v>
      </c>
      <c r="C248" s="95" t="str">
        <f t="shared" si="3"/>
        <v>1489-SNOWY RIVER TRANSPORTATION</v>
      </c>
      <c r="D248" s="99">
        <v>42459</v>
      </c>
      <c r="E248" t="s">
        <v>109</v>
      </c>
      <c r="F248" t="s">
        <v>109</v>
      </c>
    </row>
    <row r="249" spans="1:6" ht="15" customHeight="1" x14ac:dyDescent="0.25">
      <c r="A249" s="95">
        <v>1258</v>
      </c>
      <c r="B249" s="95" t="s">
        <v>274</v>
      </c>
      <c r="C249" s="95" t="str">
        <f t="shared" si="3"/>
        <v>1258-SOLI BOND INC</v>
      </c>
      <c r="D249" s="99">
        <v>40970</v>
      </c>
    </row>
    <row r="250" spans="1:6" ht="15" customHeight="1" x14ac:dyDescent="0.25">
      <c r="A250" s="95">
        <v>1034</v>
      </c>
      <c r="B250" s="95" t="s">
        <v>275</v>
      </c>
      <c r="C250" s="95" t="str">
        <f t="shared" si="3"/>
        <v>1034-SOUTH UTAH VALLEY SOLID</v>
      </c>
      <c r="D250" s="99">
        <v>40960</v>
      </c>
    </row>
    <row r="251" spans="1:6" ht="15" customHeight="1" x14ac:dyDescent="0.25">
      <c r="A251" s="96">
        <v>1398</v>
      </c>
      <c r="B251" s="96" t="s">
        <v>498</v>
      </c>
      <c r="C251" s="95" t="str">
        <f t="shared" si="3"/>
        <v>1398-SPEEDI EXPRESS LLC</v>
      </c>
      <c r="D251" s="100">
        <v>41935</v>
      </c>
    </row>
    <row r="252" spans="1:6" ht="15" customHeight="1" x14ac:dyDescent="0.25">
      <c r="A252" s="95">
        <v>30566</v>
      </c>
      <c r="B252" s="95" t="s">
        <v>278</v>
      </c>
      <c r="C252" s="95" t="str">
        <f t="shared" si="3"/>
        <v>30566-ST GEORGE PETERBILT</v>
      </c>
      <c r="D252" s="99">
        <v>41338</v>
      </c>
    </row>
    <row r="253" spans="1:6" ht="15" customHeight="1" x14ac:dyDescent="0.25">
      <c r="A253" s="95">
        <v>1448</v>
      </c>
      <c r="B253" s="95" t="s">
        <v>499</v>
      </c>
      <c r="C253" s="95" t="str">
        <f t="shared" si="3"/>
        <v>1448-STERICYCLE ENVIRONMENTAL SOLUTIONS</v>
      </c>
      <c r="D253" s="99">
        <v>42270</v>
      </c>
    </row>
    <row r="254" spans="1:6" ht="15" customHeight="1" x14ac:dyDescent="0.25">
      <c r="A254" s="95">
        <v>1392</v>
      </c>
      <c r="B254" s="95" t="s">
        <v>500</v>
      </c>
      <c r="C254" s="95" t="str">
        <f t="shared" si="3"/>
        <v>1392-STERICYCLE INC</v>
      </c>
      <c r="D254" s="99">
        <v>41914</v>
      </c>
    </row>
    <row r="255" spans="1:6" ht="15" customHeight="1" x14ac:dyDescent="0.25">
      <c r="A255" s="95">
        <v>1509</v>
      </c>
      <c r="B255" s="95" t="s">
        <v>280</v>
      </c>
      <c r="C255" s="95" t="str">
        <f t="shared" si="3"/>
        <v>1509-STERICYCLE INC - DACONO CO</v>
      </c>
      <c r="D255" s="99">
        <v>42579</v>
      </c>
    </row>
    <row r="256" spans="1:6" ht="15" customHeight="1" x14ac:dyDescent="0.25">
      <c r="A256" s="96">
        <v>1371</v>
      </c>
      <c r="B256" s="96" t="s">
        <v>282</v>
      </c>
      <c r="C256" s="95" t="str">
        <f t="shared" si="3"/>
        <v>1371-STRAIGHT STRIPE PAINTING INC</v>
      </c>
      <c r="D256" s="100">
        <v>41815</v>
      </c>
    </row>
    <row r="257" spans="1:6" ht="15" customHeight="1" x14ac:dyDescent="0.25">
      <c r="A257" s="96">
        <v>1370</v>
      </c>
      <c r="B257" s="96" t="s">
        <v>501</v>
      </c>
      <c r="C257" s="95" t="str">
        <f t="shared" si="3"/>
        <v>1370-STRAIGHTLINE TRENCHING INC</v>
      </c>
      <c r="D257" s="100">
        <v>41810</v>
      </c>
    </row>
    <row r="258" spans="1:6" ht="15" customHeight="1" x14ac:dyDescent="0.25">
      <c r="A258" s="96">
        <v>1445</v>
      </c>
      <c r="B258" s="96" t="s">
        <v>502</v>
      </c>
      <c r="C258" s="95" t="str">
        <f t="shared" si="3"/>
        <v>1445-STRICKLAND 7 FARMS LLC</v>
      </c>
      <c r="D258" s="100">
        <v>42248</v>
      </c>
    </row>
    <row r="259" spans="1:6" ht="15" customHeight="1" x14ac:dyDescent="0.25">
      <c r="A259" s="96">
        <v>1420</v>
      </c>
      <c r="B259" s="96" t="s">
        <v>503</v>
      </c>
      <c r="C259" s="95" t="str">
        <f t="shared" si="3"/>
        <v>1420-STROLLIN WEST LLC</v>
      </c>
      <c r="D259" s="100">
        <v>42066</v>
      </c>
    </row>
    <row r="260" spans="1:6" ht="15" customHeight="1" x14ac:dyDescent="0.25">
      <c r="A260" s="96">
        <v>1513</v>
      </c>
      <c r="B260" s="96" t="s">
        <v>504</v>
      </c>
      <c r="C260" s="95" t="str">
        <f t="shared" si="3"/>
        <v>1513-SWALLOW OIL CO</v>
      </c>
      <c r="D260" s="100">
        <v>42598</v>
      </c>
      <c r="E260" t="s">
        <v>109</v>
      </c>
      <c r="F260" t="s">
        <v>109</v>
      </c>
    </row>
    <row r="261" spans="1:6" ht="15" customHeight="1" x14ac:dyDescent="0.25">
      <c r="A261" s="96">
        <v>390</v>
      </c>
      <c r="B261" s="96" t="s">
        <v>505</v>
      </c>
      <c r="C261" s="95" t="str">
        <f t="shared" si="3"/>
        <v>390-SWIFT CENTRAL REFRIGERATED</v>
      </c>
      <c r="D261" s="100">
        <v>40388</v>
      </c>
    </row>
    <row r="262" spans="1:6" ht="15" customHeight="1" x14ac:dyDescent="0.25">
      <c r="A262" s="96">
        <v>1441</v>
      </c>
      <c r="B262" s="96" t="s">
        <v>287</v>
      </c>
      <c r="C262" s="95" t="str">
        <f t="shared" si="3"/>
        <v>1441-TEXTILE CARE SERVICES</v>
      </c>
      <c r="D262" s="100">
        <v>42207</v>
      </c>
    </row>
    <row r="263" spans="1:6" ht="15" customHeight="1" x14ac:dyDescent="0.25">
      <c r="A263" s="96">
        <v>1092</v>
      </c>
      <c r="B263" s="96" t="s">
        <v>292</v>
      </c>
      <c r="C263" s="95" t="str">
        <f t="shared" si="3"/>
        <v>1092-THERMO FLUIDS</v>
      </c>
      <c r="D263" s="100">
        <v>39401</v>
      </c>
      <c r="F263" t="s">
        <v>99</v>
      </c>
    </row>
    <row r="264" spans="1:6" ht="15" customHeight="1" x14ac:dyDescent="0.25">
      <c r="A264" s="96">
        <v>1472</v>
      </c>
      <c r="B264" s="96" t="s">
        <v>506</v>
      </c>
      <c r="C264" s="95" t="str">
        <f t="shared" si="3"/>
        <v>1472-TILDEN TRANSPORT LLC</v>
      </c>
      <c r="D264" s="100">
        <v>42369</v>
      </c>
      <c r="E264" t="s">
        <v>109</v>
      </c>
      <c r="F264" t="s">
        <v>109</v>
      </c>
    </row>
    <row r="265" spans="1:6" ht="15" customHeight="1" x14ac:dyDescent="0.25">
      <c r="A265" s="96">
        <v>1440</v>
      </c>
      <c r="B265" s="96" t="s">
        <v>507</v>
      </c>
      <c r="C265" s="95" t="str">
        <f t="shared" ref="C265:C287" si="4">A265&amp;"-"&amp;B265</f>
        <v>1440-TIMOTHY SHAW TRUCKING</v>
      </c>
      <c r="D265" s="100">
        <v>42205</v>
      </c>
    </row>
    <row r="266" spans="1:6" ht="15" customHeight="1" x14ac:dyDescent="0.25">
      <c r="A266" s="96">
        <v>1413</v>
      </c>
      <c r="B266" s="96" t="s">
        <v>508</v>
      </c>
      <c r="C266" s="95" t="str">
        <f t="shared" si="4"/>
        <v>1413-TOLBERT INTERNATIONAL</v>
      </c>
      <c r="D266" s="100">
        <v>42016</v>
      </c>
    </row>
    <row r="267" spans="1:6" ht="15" customHeight="1" x14ac:dyDescent="0.25">
      <c r="A267" s="95">
        <v>1104</v>
      </c>
      <c r="B267" s="95" t="s">
        <v>509</v>
      </c>
      <c r="C267" s="95" t="str">
        <f t="shared" si="4"/>
        <v>1104-TOM STUART CONSTRUCTION</v>
      </c>
      <c r="D267" s="99">
        <v>38966</v>
      </c>
    </row>
    <row r="268" spans="1:6" ht="15" customHeight="1" x14ac:dyDescent="0.25">
      <c r="A268" s="95">
        <v>1348</v>
      </c>
      <c r="B268" s="95" t="s">
        <v>510</v>
      </c>
      <c r="C268" s="95" t="str">
        <f t="shared" si="4"/>
        <v>1348-TOOELE BEVERAGE CO INC</v>
      </c>
      <c r="D268" s="99">
        <v>41711</v>
      </c>
    </row>
    <row r="269" spans="1:6" ht="15" customHeight="1" x14ac:dyDescent="0.25">
      <c r="A269" s="102">
        <v>1342</v>
      </c>
      <c r="B269" s="102" t="s">
        <v>511</v>
      </c>
      <c r="C269" s="95" t="str">
        <f t="shared" si="4"/>
        <v>1342-TRIPLE A TRUCKING LLC</v>
      </c>
      <c r="D269" s="103">
        <v>41677</v>
      </c>
    </row>
    <row r="270" spans="1:6" ht="15" customHeight="1" x14ac:dyDescent="0.25">
      <c r="A270" s="96">
        <v>1531</v>
      </c>
      <c r="B270" s="96" t="s">
        <v>512</v>
      </c>
      <c r="C270" s="95" t="str">
        <f t="shared" si="4"/>
        <v>1531-TSM TRANSPORTATION</v>
      </c>
      <c r="D270" s="100">
        <v>42716</v>
      </c>
      <c r="E270" t="s">
        <v>109</v>
      </c>
      <c r="F270" t="s">
        <v>109</v>
      </c>
    </row>
    <row r="271" spans="1:6" ht="15" customHeight="1" x14ac:dyDescent="0.25">
      <c r="A271" s="96">
        <v>1438</v>
      </c>
      <c r="B271" s="96" t="s">
        <v>296</v>
      </c>
      <c r="C271" s="95" t="str">
        <f t="shared" si="4"/>
        <v>1438-TWIN ENERGY LLC</v>
      </c>
      <c r="D271" s="100">
        <v>42184</v>
      </c>
    </row>
    <row r="272" spans="1:6" ht="15" customHeight="1" x14ac:dyDescent="0.25">
      <c r="A272" s="95">
        <v>1141</v>
      </c>
      <c r="B272" s="95" t="s">
        <v>297</v>
      </c>
      <c r="C272" s="95" t="str">
        <f t="shared" si="4"/>
        <v>1141-UNITED STATES WELDING INC</v>
      </c>
      <c r="D272" s="99">
        <v>40876</v>
      </c>
      <c r="F272" t="s">
        <v>99</v>
      </c>
    </row>
    <row r="273" spans="1:6" ht="15" customHeight="1" x14ac:dyDescent="0.25">
      <c r="A273" s="95">
        <v>1142</v>
      </c>
      <c r="B273" s="95" t="s">
        <v>298</v>
      </c>
      <c r="C273" s="95" t="str">
        <f t="shared" si="4"/>
        <v>1142-UNIVAR USA INC</v>
      </c>
      <c r="D273" s="99">
        <v>40891</v>
      </c>
      <c r="F273" t="s">
        <v>99</v>
      </c>
    </row>
    <row r="274" spans="1:6" ht="15" customHeight="1" x14ac:dyDescent="0.25">
      <c r="A274" s="95">
        <v>1362</v>
      </c>
      <c r="B274" s="95" t="s">
        <v>300</v>
      </c>
      <c r="C274" s="95" t="str">
        <f t="shared" si="4"/>
        <v>1362-UTAH VALLEY PETERBILT</v>
      </c>
      <c r="D274" s="99">
        <v>41768</v>
      </c>
    </row>
    <row r="275" spans="1:6" ht="15" customHeight="1" x14ac:dyDescent="0.25">
      <c r="A275" s="95">
        <v>1501</v>
      </c>
      <c r="B275" s="95" t="s">
        <v>301</v>
      </c>
      <c r="C275" s="95" t="str">
        <f t="shared" si="4"/>
        <v>1501-UTILITY TRAILER SALES OF UTAH</v>
      </c>
      <c r="D275" s="99">
        <v>42534</v>
      </c>
      <c r="E275" t="s">
        <v>109</v>
      </c>
      <c r="F275" t="s">
        <v>99</v>
      </c>
    </row>
    <row r="276" spans="1:6" ht="15" customHeight="1" x14ac:dyDescent="0.25">
      <c r="A276" s="96">
        <v>1409</v>
      </c>
      <c r="B276" s="96" t="s">
        <v>513</v>
      </c>
      <c r="C276" s="95" t="str">
        <f t="shared" si="4"/>
        <v>1409-VANEERDEN TRUCKING INC</v>
      </c>
      <c r="D276" s="100">
        <v>42002</v>
      </c>
    </row>
    <row r="277" spans="1:6" ht="15" customHeight="1" x14ac:dyDescent="0.25">
      <c r="A277" s="96">
        <v>1288</v>
      </c>
      <c r="B277" s="96" t="s">
        <v>514</v>
      </c>
      <c r="C277" s="95" t="str">
        <f t="shared" si="4"/>
        <v>1288-VERACITY LOGISTICS LLC</v>
      </c>
      <c r="D277" s="100">
        <v>41313</v>
      </c>
    </row>
    <row r="278" spans="1:6" ht="15" customHeight="1" x14ac:dyDescent="0.25">
      <c r="A278" s="96">
        <v>1506</v>
      </c>
      <c r="B278" s="96" t="s">
        <v>515</v>
      </c>
      <c r="C278" s="95" t="str">
        <f t="shared" si="4"/>
        <v>1506-VITO TRUCKING LLC</v>
      </c>
      <c r="D278" s="100">
        <v>42548</v>
      </c>
      <c r="E278" t="s">
        <v>109</v>
      </c>
      <c r="F278" t="s">
        <v>109</v>
      </c>
    </row>
    <row r="279" spans="1:6" ht="15" customHeight="1" x14ac:dyDescent="0.25">
      <c r="A279" s="95">
        <v>1167</v>
      </c>
      <c r="B279" s="95" t="s">
        <v>516</v>
      </c>
      <c r="C279" s="95" t="str">
        <f t="shared" si="4"/>
        <v>1167-WADSWORTH BROTHERS CONS</v>
      </c>
      <c r="D279" s="99">
        <v>40140</v>
      </c>
    </row>
    <row r="280" spans="1:6" ht="15" customHeight="1" x14ac:dyDescent="0.25">
      <c r="A280" s="96">
        <v>1375</v>
      </c>
      <c r="B280" s="96" t="s">
        <v>517</v>
      </c>
      <c r="C280" s="95" t="str">
        <f t="shared" si="4"/>
        <v>1375-WALL STREET TRANSPORTATION</v>
      </c>
      <c r="D280" s="100">
        <v>41829</v>
      </c>
    </row>
    <row r="281" spans="1:6" ht="15" customHeight="1" x14ac:dyDescent="0.25">
      <c r="A281" s="95">
        <v>1182</v>
      </c>
      <c r="B281" s="95" t="s">
        <v>518</v>
      </c>
      <c r="C281" s="95" t="str">
        <f t="shared" si="4"/>
        <v>1182-WEBB AUDIO VISUAL</v>
      </c>
      <c r="D281" s="99">
        <v>39731</v>
      </c>
    </row>
    <row r="282" spans="1:6" ht="15" customHeight="1" x14ac:dyDescent="0.25">
      <c r="A282" s="96">
        <v>1343</v>
      </c>
      <c r="B282" s="96" t="s">
        <v>519</v>
      </c>
      <c r="C282" s="95" t="str">
        <f t="shared" si="4"/>
        <v>1343-WEBB INVESTMENTS INC</v>
      </c>
      <c r="D282" s="100">
        <v>41680</v>
      </c>
    </row>
    <row r="283" spans="1:6" ht="15" customHeight="1" x14ac:dyDescent="0.25">
      <c r="A283" s="96">
        <v>1359</v>
      </c>
      <c r="B283" s="96" t="s">
        <v>520</v>
      </c>
      <c r="C283" s="95" t="str">
        <f t="shared" si="4"/>
        <v>1359-WEBB TRUCKING LLC</v>
      </c>
      <c r="D283" s="100">
        <v>41764</v>
      </c>
    </row>
    <row r="284" spans="1:6" ht="15" customHeight="1" x14ac:dyDescent="0.25">
      <c r="A284" s="109">
        <v>1361</v>
      </c>
      <c r="B284" s="109" t="s">
        <v>521</v>
      </c>
      <c r="C284" s="95" t="str">
        <f t="shared" si="4"/>
        <v>1361-WESTERN PROVISIONS INC</v>
      </c>
      <c r="D284" s="110">
        <v>41766</v>
      </c>
      <c r="E284" s="108"/>
      <c r="F284" s="108"/>
    </row>
    <row r="285" spans="1:6" ht="15" customHeight="1" x14ac:dyDescent="0.25">
      <c r="A285" s="111">
        <v>1525</v>
      </c>
      <c r="B285" s="111" t="s">
        <v>522</v>
      </c>
      <c r="C285" s="95" t="str">
        <f t="shared" si="4"/>
        <v>1525-WINCO FOODS</v>
      </c>
      <c r="D285" s="112">
        <v>42681</v>
      </c>
      <c r="E285" s="108" t="s">
        <v>109</v>
      </c>
      <c r="F285" s="108" t="s">
        <v>99</v>
      </c>
    </row>
    <row r="286" spans="1:6" ht="15" customHeight="1" x14ac:dyDescent="0.25">
      <c r="A286" s="109">
        <v>1462</v>
      </c>
      <c r="B286" s="109" t="s">
        <v>523</v>
      </c>
      <c r="C286" s="95" t="str">
        <f t="shared" si="4"/>
        <v>1462-WOLFF TRANSPORTATION</v>
      </c>
      <c r="D286" s="110">
        <v>42333</v>
      </c>
      <c r="E286" s="108" t="s">
        <v>109</v>
      </c>
      <c r="F286" s="108" t="s">
        <v>109</v>
      </c>
    </row>
    <row r="287" spans="1:6" ht="15" customHeight="1" x14ac:dyDescent="0.25">
      <c r="A287" s="96">
        <v>1461</v>
      </c>
      <c r="B287" s="96" t="s">
        <v>524</v>
      </c>
      <c r="C287" s="95" t="str">
        <f t="shared" si="4"/>
        <v>1461-ZUECK TRANSPORTATION</v>
      </c>
      <c r="D287" s="98">
        <v>42326</v>
      </c>
      <c r="E287" t="s">
        <v>109</v>
      </c>
      <c r="F287" t="s">
        <v>109</v>
      </c>
    </row>
    <row r="288" spans="1:6" ht="15" customHeight="1" x14ac:dyDescent="0.25">
      <c r="D288" s="94"/>
    </row>
    <row r="289" spans="1:6" ht="15" customHeight="1" x14ac:dyDescent="0.25">
      <c r="D289" s="94"/>
    </row>
    <row r="290" spans="1:6" ht="18.75" customHeight="1" x14ac:dyDescent="0.3">
      <c r="A290" s="97"/>
      <c r="B290" s="113" t="s">
        <v>315</v>
      </c>
      <c r="C290" s="113"/>
      <c r="D290" s="97"/>
      <c r="E290" s="97"/>
      <c r="F290" s="97"/>
    </row>
    <row r="291" spans="1:6" ht="15" customHeight="1" x14ac:dyDescent="0.25">
      <c r="A291" s="97"/>
      <c r="B291" s="97"/>
      <c r="C291" s="97"/>
      <c r="D291" s="97"/>
      <c r="E291" s="97"/>
      <c r="F291" s="97"/>
    </row>
    <row r="292" spans="1:6" ht="15" customHeight="1" x14ac:dyDescent="0.25">
      <c r="A292" s="104">
        <v>1433</v>
      </c>
      <c r="B292" s="104" t="s">
        <v>525</v>
      </c>
      <c r="C292" s="105">
        <v>42156</v>
      </c>
      <c r="D292" s="104" t="s">
        <v>526</v>
      </c>
      <c r="E292" s="97"/>
      <c r="F292" s="97"/>
    </row>
    <row r="293" spans="1:6" ht="15" customHeight="1" x14ac:dyDescent="0.25">
      <c r="A293" s="97">
        <v>1302</v>
      </c>
      <c r="B293" s="97" t="s">
        <v>527</v>
      </c>
      <c r="C293" s="114">
        <v>41432</v>
      </c>
      <c r="D293" s="97" t="s">
        <v>528</v>
      </c>
      <c r="E293" s="97"/>
      <c r="F293" s="97"/>
    </row>
    <row r="294" spans="1:6" ht="15" customHeight="1" x14ac:dyDescent="0.25">
      <c r="A294" s="97">
        <v>1341</v>
      </c>
      <c r="B294" s="97" t="s">
        <v>529</v>
      </c>
      <c r="C294" s="101">
        <v>41670</v>
      </c>
      <c r="D294" s="97" t="s">
        <v>530</v>
      </c>
      <c r="E294" s="97"/>
      <c r="F294" s="97"/>
    </row>
    <row r="295" spans="1:6" ht="15" customHeight="1" x14ac:dyDescent="0.25">
      <c r="A295" s="97">
        <v>262</v>
      </c>
      <c r="B295" s="97" t="s">
        <v>531</v>
      </c>
      <c r="C295" s="101">
        <v>39014</v>
      </c>
      <c r="D295" s="97" t="s">
        <v>528</v>
      </c>
      <c r="E295" s="97"/>
      <c r="F295" s="97"/>
    </row>
    <row r="296" spans="1:6" ht="15" customHeight="1" x14ac:dyDescent="0.25">
      <c r="A296" s="97">
        <v>265</v>
      </c>
      <c r="B296" s="97" t="s">
        <v>532</v>
      </c>
      <c r="C296" s="101">
        <v>39085</v>
      </c>
      <c r="D296" s="97" t="s">
        <v>528</v>
      </c>
      <c r="E296" s="97"/>
      <c r="F296" s="97"/>
    </row>
    <row r="297" spans="1:6" ht="15" customHeight="1" x14ac:dyDescent="0.25">
      <c r="A297" s="97">
        <v>275</v>
      </c>
      <c r="B297" s="97" t="s">
        <v>533</v>
      </c>
      <c r="C297" s="101">
        <v>38693</v>
      </c>
      <c r="D297" s="97" t="s">
        <v>528</v>
      </c>
      <c r="E297" s="97"/>
      <c r="F297" s="97"/>
    </row>
    <row r="298" spans="1:6" ht="15" customHeight="1" x14ac:dyDescent="0.25">
      <c r="A298" s="97">
        <v>1234</v>
      </c>
      <c r="B298" s="97" t="s">
        <v>534</v>
      </c>
      <c r="C298" s="101">
        <v>41030</v>
      </c>
      <c r="D298" s="97" t="s">
        <v>528</v>
      </c>
      <c r="E298" s="97"/>
      <c r="F298" s="97"/>
    </row>
    <row r="299" spans="1:6" ht="15" customHeight="1" x14ac:dyDescent="0.25">
      <c r="A299" s="97">
        <v>1251</v>
      </c>
      <c r="B299" s="97" t="s">
        <v>535</v>
      </c>
      <c r="C299" s="114">
        <v>41103</v>
      </c>
      <c r="D299" s="97" t="s">
        <v>528</v>
      </c>
      <c r="E299" s="97"/>
      <c r="F299" s="97"/>
    </row>
    <row r="300" spans="1:6" ht="15" customHeight="1" x14ac:dyDescent="0.25">
      <c r="A300" s="97">
        <v>1303</v>
      </c>
      <c r="B300" s="97" t="s">
        <v>536</v>
      </c>
      <c r="C300" s="114">
        <v>41436</v>
      </c>
      <c r="D300" s="97" t="s">
        <v>530</v>
      </c>
      <c r="E300" s="97"/>
      <c r="F300" s="97"/>
    </row>
    <row r="301" spans="1:6" ht="15" customHeight="1" x14ac:dyDescent="0.25">
      <c r="A301" s="97">
        <v>1284</v>
      </c>
      <c r="B301" s="97" t="s">
        <v>537</v>
      </c>
      <c r="C301" s="114">
        <v>41303</v>
      </c>
      <c r="D301" s="97" t="s">
        <v>530</v>
      </c>
      <c r="E301" s="97"/>
      <c r="F301" s="97"/>
    </row>
    <row r="302" spans="1:6" ht="15" customHeight="1" x14ac:dyDescent="0.25">
      <c r="A302" s="97">
        <v>322</v>
      </c>
      <c r="B302" s="97" t="s">
        <v>538</v>
      </c>
      <c r="C302" s="114">
        <v>39013</v>
      </c>
      <c r="D302" s="97" t="s">
        <v>539</v>
      </c>
      <c r="E302" s="97"/>
      <c r="F302" s="97"/>
    </row>
    <row r="303" spans="1:6" ht="15" customHeight="1" x14ac:dyDescent="0.25">
      <c r="A303" s="97">
        <v>1360</v>
      </c>
      <c r="B303" s="97" t="s">
        <v>540</v>
      </c>
      <c r="C303" s="114">
        <v>41764</v>
      </c>
      <c r="D303" s="97" t="s">
        <v>530</v>
      </c>
      <c r="E303" s="97"/>
      <c r="F303" s="97"/>
    </row>
    <row r="304" spans="1:6" ht="15" customHeight="1" x14ac:dyDescent="0.25">
      <c r="A304" s="97">
        <v>1331</v>
      </c>
      <c r="B304" s="97" t="s">
        <v>541</v>
      </c>
      <c r="C304" s="114">
        <v>41642</v>
      </c>
      <c r="D304" s="97" t="s">
        <v>530</v>
      </c>
      <c r="E304" s="97"/>
      <c r="F304" s="97"/>
    </row>
    <row r="305" spans="1:6" ht="15" customHeight="1" x14ac:dyDescent="0.25">
      <c r="A305" s="97">
        <v>335</v>
      </c>
      <c r="B305" s="97" t="s">
        <v>542</v>
      </c>
      <c r="C305" s="101">
        <v>38602</v>
      </c>
      <c r="D305" s="97" t="s">
        <v>528</v>
      </c>
      <c r="E305" s="97"/>
      <c r="F305" s="97"/>
    </row>
    <row r="306" spans="1:6" ht="15" customHeight="1" x14ac:dyDescent="0.25">
      <c r="A306" s="97">
        <v>1300</v>
      </c>
      <c r="B306" s="97" t="s">
        <v>543</v>
      </c>
      <c r="C306" s="114">
        <v>41408</v>
      </c>
      <c r="D306" s="97" t="s">
        <v>528</v>
      </c>
      <c r="E306" s="97"/>
      <c r="F306" s="97"/>
    </row>
    <row r="307" spans="1:6" ht="15" customHeight="1" x14ac:dyDescent="0.25">
      <c r="A307" s="97">
        <v>1393</v>
      </c>
      <c r="B307" s="97" t="s">
        <v>544</v>
      </c>
      <c r="C307" s="114">
        <v>41914</v>
      </c>
      <c r="D307" s="97" t="s">
        <v>545</v>
      </c>
      <c r="E307" s="97"/>
      <c r="F307" s="97"/>
    </row>
    <row r="308" spans="1:6" ht="15" customHeight="1" x14ac:dyDescent="0.25">
      <c r="A308" s="97">
        <v>1327</v>
      </c>
      <c r="B308" s="97" t="s">
        <v>546</v>
      </c>
      <c r="C308" s="114">
        <v>41625</v>
      </c>
      <c r="D308" s="97" t="s">
        <v>530</v>
      </c>
      <c r="E308" s="97"/>
      <c r="F308" s="97"/>
    </row>
    <row r="309" spans="1:6" ht="15" customHeight="1" x14ac:dyDescent="0.25">
      <c r="A309" s="97">
        <v>1351</v>
      </c>
      <c r="B309" s="97" t="s">
        <v>547</v>
      </c>
      <c r="C309" s="114">
        <v>41731</v>
      </c>
      <c r="D309" s="97" t="s">
        <v>530</v>
      </c>
      <c r="E309" s="97"/>
      <c r="F309" s="97"/>
    </row>
    <row r="310" spans="1:6" ht="15" customHeight="1" x14ac:dyDescent="0.25">
      <c r="A310" s="97">
        <v>462</v>
      </c>
      <c r="B310" s="97" t="s">
        <v>548</v>
      </c>
      <c r="C310" s="114">
        <v>40848</v>
      </c>
      <c r="D310" s="97" t="s">
        <v>528</v>
      </c>
      <c r="E310" s="97"/>
      <c r="F310" s="97"/>
    </row>
    <row r="311" spans="1:6" ht="15" customHeight="1" x14ac:dyDescent="0.25">
      <c r="A311" s="97">
        <v>1353</v>
      </c>
      <c r="B311" s="97" t="s">
        <v>549</v>
      </c>
      <c r="C311" s="114">
        <v>41744</v>
      </c>
      <c r="D311" s="97" t="s">
        <v>530</v>
      </c>
      <c r="E311" s="97"/>
      <c r="F311" s="97"/>
    </row>
    <row r="312" spans="1:6" ht="15" customHeight="1" x14ac:dyDescent="0.25">
      <c r="A312" s="97">
        <v>1230</v>
      </c>
      <c r="B312" s="97" t="s">
        <v>550</v>
      </c>
      <c r="C312" s="114">
        <v>41039</v>
      </c>
      <c r="D312" s="97" t="s">
        <v>528</v>
      </c>
      <c r="E312" s="97"/>
      <c r="F312" s="97"/>
    </row>
    <row r="313" spans="1:6" ht="15" customHeight="1" x14ac:dyDescent="0.25">
      <c r="A313" s="97">
        <v>483</v>
      </c>
      <c r="B313" s="97" t="s">
        <v>551</v>
      </c>
      <c r="C313" s="114">
        <v>39010</v>
      </c>
      <c r="D313" s="97" t="s">
        <v>528</v>
      </c>
      <c r="E313" s="97"/>
      <c r="F313" s="97"/>
    </row>
    <row r="314" spans="1:6" ht="15" customHeight="1" x14ac:dyDescent="0.25">
      <c r="A314" s="97">
        <v>1298</v>
      </c>
      <c r="B314" s="97" t="s">
        <v>384</v>
      </c>
      <c r="C314" s="114">
        <v>41394</v>
      </c>
      <c r="D314" s="97" t="s">
        <v>528</v>
      </c>
      <c r="E314" s="97"/>
      <c r="F314" s="97"/>
    </row>
    <row r="315" spans="1:6" ht="15" customHeight="1" x14ac:dyDescent="0.25">
      <c r="A315" s="97">
        <v>1345</v>
      </c>
      <c r="B315" s="97" t="s">
        <v>552</v>
      </c>
      <c r="C315" s="114">
        <v>41689</v>
      </c>
      <c r="D315" s="97" t="s">
        <v>530</v>
      </c>
      <c r="E315" s="97"/>
      <c r="F315" s="97"/>
    </row>
    <row r="316" spans="1:6" ht="15" customHeight="1" x14ac:dyDescent="0.25">
      <c r="A316" s="97">
        <v>505</v>
      </c>
      <c r="B316" s="97" t="s">
        <v>553</v>
      </c>
      <c r="C316" s="114">
        <v>39077</v>
      </c>
      <c r="D316" s="97" t="s">
        <v>528</v>
      </c>
      <c r="E316" s="97"/>
      <c r="F316" s="97"/>
    </row>
    <row r="317" spans="1:6" ht="15" customHeight="1" x14ac:dyDescent="0.25">
      <c r="A317" s="97">
        <v>1232</v>
      </c>
      <c r="B317" s="97" t="s">
        <v>554</v>
      </c>
      <c r="C317" s="114">
        <v>41045</v>
      </c>
      <c r="D317" s="97" t="s">
        <v>528</v>
      </c>
      <c r="E317" s="97"/>
      <c r="F317" s="97"/>
    </row>
    <row r="318" spans="1:6" ht="15" customHeight="1" x14ac:dyDescent="0.25">
      <c r="A318" s="97">
        <v>518</v>
      </c>
      <c r="B318" s="97" t="s">
        <v>555</v>
      </c>
      <c r="C318" s="101">
        <v>38751</v>
      </c>
      <c r="D318" s="97" t="s">
        <v>528</v>
      </c>
      <c r="E318" s="97"/>
      <c r="F318" s="97"/>
    </row>
    <row r="319" spans="1:6" ht="15" customHeight="1" x14ac:dyDescent="0.25">
      <c r="A319" s="97">
        <v>523</v>
      </c>
      <c r="B319" s="97" t="s">
        <v>556</v>
      </c>
      <c r="C319" s="101">
        <v>40953</v>
      </c>
      <c r="D319" s="97" t="s">
        <v>557</v>
      </c>
      <c r="E319" s="97"/>
      <c r="F319" s="97"/>
    </row>
    <row r="320" spans="1:6" ht="15" customHeight="1" x14ac:dyDescent="0.25">
      <c r="A320" s="97">
        <v>531</v>
      </c>
      <c r="B320" s="97" t="s">
        <v>558</v>
      </c>
      <c r="C320" s="101">
        <v>39225</v>
      </c>
      <c r="D320" s="97" t="s">
        <v>528</v>
      </c>
      <c r="E320" s="97"/>
      <c r="F320" s="97"/>
    </row>
    <row r="321" spans="1:6" ht="15" customHeight="1" x14ac:dyDescent="0.25">
      <c r="A321" s="97">
        <v>535</v>
      </c>
      <c r="B321" s="97" t="s">
        <v>559</v>
      </c>
      <c r="C321" s="101">
        <v>38909</v>
      </c>
      <c r="D321" s="97" t="s">
        <v>528</v>
      </c>
      <c r="E321" s="97"/>
      <c r="F321" s="97"/>
    </row>
    <row r="322" spans="1:6" ht="15" customHeight="1" x14ac:dyDescent="0.25">
      <c r="A322" s="97">
        <v>1267</v>
      </c>
      <c r="B322" s="97" t="s">
        <v>560</v>
      </c>
      <c r="C322" s="114">
        <v>41185</v>
      </c>
      <c r="D322" s="97" t="s">
        <v>528</v>
      </c>
      <c r="E322" s="97"/>
      <c r="F322" s="97"/>
    </row>
    <row r="323" spans="1:6" ht="15" customHeight="1" x14ac:dyDescent="0.25">
      <c r="A323" s="97">
        <v>1325</v>
      </c>
      <c r="B323" s="97" t="s">
        <v>561</v>
      </c>
      <c r="C323" s="114">
        <v>41618</v>
      </c>
      <c r="D323" s="97" t="s">
        <v>530</v>
      </c>
      <c r="E323" s="97"/>
      <c r="F323" s="97"/>
    </row>
    <row r="324" spans="1:6" ht="15" customHeight="1" x14ac:dyDescent="0.25">
      <c r="A324" s="97">
        <v>550</v>
      </c>
      <c r="B324" s="97" t="s">
        <v>562</v>
      </c>
      <c r="C324" s="114">
        <v>39916</v>
      </c>
      <c r="D324" s="97" t="s">
        <v>528</v>
      </c>
      <c r="E324" s="97"/>
      <c r="F324" s="97"/>
    </row>
    <row r="325" spans="1:6" ht="15" customHeight="1" x14ac:dyDescent="0.25">
      <c r="A325" s="97">
        <v>1274</v>
      </c>
      <c r="B325" s="97" t="s">
        <v>563</v>
      </c>
      <c r="C325" s="114">
        <v>41228</v>
      </c>
      <c r="D325" s="97" t="s">
        <v>528</v>
      </c>
      <c r="E325" s="97"/>
      <c r="F325" s="97"/>
    </row>
    <row r="326" spans="1:6" ht="15" customHeight="1" x14ac:dyDescent="0.25">
      <c r="A326" s="97">
        <v>1336</v>
      </c>
      <c r="B326" s="97" t="s">
        <v>564</v>
      </c>
      <c r="C326" s="114">
        <v>41652</v>
      </c>
      <c r="D326" s="97" t="s">
        <v>565</v>
      </c>
      <c r="E326" s="97"/>
      <c r="F326" s="97"/>
    </row>
    <row r="327" spans="1:6" ht="15" customHeight="1" x14ac:dyDescent="0.25">
      <c r="A327" s="97">
        <v>1276</v>
      </c>
      <c r="B327" s="97" t="s">
        <v>566</v>
      </c>
      <c r="C327" s="114">
        <v>41240</v>
      </c>
      <c r="D327" s="97" t="s">
        <v>528</v>
      </c>
      <c r="E327" s="97"/>
      <c r="F327" s="97"/>
    </row>
    <row r="328" spans="1:6" ht="15" customHeight="1" x14ac:dyDescent="0.25">
      <c r="A328" s="97">
        <v>1304</v>
      </c>
      <c r="B328" s="97" t="s">
        <v>567</v>
      </c>
      <c r="C328" s="114">
        <v>41436</v>
      </c>
      <c r="D328" s="97" t="s">
        <v>545</v>
      </c>
      <c r="E328" s="97"/>
      <c r="F328" s="97"/>
    </row>
    <row r="329" spans="1:6" ht="15" customHeight="1" x14ac:dyDescent="0.25">
      <c r="A329" s="97">
        <v>616</v>
      </c>
      <c r="B329" s="97" t="s">
        <v>198</v>
      </c>
      <c r="C329" s="101">
        <v>39358</v>
      </c>
      <c r="D329" s="97" t="s">
        <v>528</v>
      </c>
      <c r="E329" s="97"/>
      <c r="F329" s="97"/>
    </row>
    <row r="330" spans="1:6" ht="15" customHeight="1" x14ac:dyDescent="0.25">
      <c r="A330" s="97">
        <v>1250</v>
      </c>
      <c r="B330" s="97" t="s">
        <v>568</v>
      </c>
      <c r="C330" s="101">
        <v>41100</v>
      </c>
      <c r="D330" s="97" t="s">
        <v>530</v>
      </c>
      <c r="E330" s="97"/>
      <c r="F330" s="97"/>
    </row>
    <row r="331" spans="1:6" ht="15" customHeight="1" x14ac:dyDescent="0.25">
      <c r="A331" s="97">
        <v>637</v>
      </c>
      <c r="B331" s="97" t="s">
        <v>569</v>
      </c>
      <c r="C331" s="101">
        <v>39240</v>
      </c>
      <c r="D331" s="97" t="s">
        <v>528</v>
      </c>
      <c r="E331" s="97"/>
      <c r="F331" s="97"/>
    </row>
    <row r="332" spans="1:6" ht="15" customHeight="1" x14ac:dyDescent="0.25">
      <c r="A332" s="97">
        <v>648</v>
      </c>
      <c r="B332" s="97" t="s">
        <v>570</v>
      </c>
      <c r="C332" s="101">
        <v>40827</v>
      </c>
      <c r="D332" s="97" t="s">
        <v>545</v>
      </c>
      <c r="E332" s="97"/>
      <c r="F332" s="97"/>
    </row>
    <row r="333" spans="1:6" ht="15" customHeight="1" x14ac:dyDescent="0.25">
      <c r="A333" s="97">
        <v>1265</v>
      </c>
      <c r="B333" s="97" t="s">
        <v>571</v>
      </c>
      <c r="C333" s="101">
        <v>41162</v>
      </c>
      <c r="D333" s="97" t="s">
        <v>528</v>
      </c>
      <c r="E333" s="97"/>
      <c r="F333" s="97"/>
    </row>
    <row r="334" spans="1:6" ht="15" customHeight="1" x14ac:dyDescent="0.25">
      <c r="A334" s="97">
        <v>1248</v>
      </c>
      <c r="B334" s="97" t="s">
        <v>572</v>
      </c>
      <c r="C334" s="101">
        <v>41096</v>
      </c>
      <c r="D334" s="97" t="s">
        <v>573</v>
      </c>
      <c r="E334" s="97"/>
      <c r="F334" s="97"/>
    </row>
    <row r="335" spans="1:6" ht="15" customHeight="1" x14ac:dyDescent="0.25">
      <c r="A335" s="97">
        <v>1311</v>
      </c>
      <c r="B335" s="97" t="s">
        <v>574</v>
      </c>
      <c r="C335" s="101">
        <v>41474</v>
      </c>
      <c r="D335" s="97" t="s">
        <v>530</v>
      </c>
      <c r="E335" s="97"/>
      <c r="F335" s="97"/>
    </row>
    <row r="336" spans="1:6" ht="15" customHeight="1" x14ac:dyDescent="0.25">
      <c r="A336" s="97">
        <v>1294</v>
      </c>
      <c r="B336" s="97" t="s">
        <v>575</v>
      </c>
      <c r="C336" s="101">
        <v>41360</v>
      </c>
      <c r="D336" s="97" t="s">
        <v>530</v>
      </c>
      <c r="E336" s="97"/>
      <c r="F336" s="97"/>
    </row>
    <row r="337" spans="1:6" ht="15" customHeight="1" x14ac:dyDescent="0.25">
      <c r="A337" s="97">
        <v>795</v>
      </c>
      <c r="B337" s="97" t="s">
        <v>576</v>
      </c>
      <c r="C337" s="101">
        <v>39251</v>
      </c>
      <c r="D337" s="97" t="s">
        <v>528</v>
      </c>
      <c r="E337" s="97"/>
      <c r="F337" s="97"/>
    </row>
    <row r="338" spans="1:6" ht="15" customHeight="1" x14ac:dyDescent="0.25">
      <c r="A338" s="97">
        <v>1305</v>
      </c>
      <c r="B338" s="97" t="s">
        <v>577</v>
      </c>
      <c r="C338" s="101">
        <v>41446</v>
      </c>
      <c r="D338" s="97" t="s">
        <v>530</v>
      </c>
      <c r="E338" s="97"/>
      <c r="F338" s="97"/>
    </row>
    <row r="339" spans="1:6" ht="15" customHeight="1" x14ac:dyDescent="0.25">
      <c r="A339" s="97">
        <v>1405</v>
      </c>
      <c r="B339" s="97" t="s">
        <v>578</v>
      </c>
      <c r="C339" s="101">
        <v>41988</v>
      </c>
      <c r="D339" s="97" t="s">
        <v>557</v>
      </c>
      <c r="E339" s="97"/>
      <c r="F339" s="97"/>
    </row>
    <row r="340" spans="1:6" ht="15" customHeight="1" x14ac:dyDescent="0.25">
      <c r="A340" s="97">
        <v>1416</v>
      </c>
      <c r="B340" s="97" t="s">
        <v>579</v>
      </c>
      <c r="C340" s="101">
        <v>42326</v>
      </c>
      <c r="D340" s="97" t="s">
        <v>530</v>
      </c>
      <c r="E340" s="97"/>
      <c r="F340" s="97"/>
    </row>
    <row r="341" spans="1:6" ht="15" customHeight="1" x14ac:dyDescent="0.25">
      <c r="A341" s="97">
        <v>1091</v>
      </c>
      <c r="B341" s="97" t="s">
        <v>580</v>
      </c>
      <c r="C341" s="101">
        <v>40806</v>
      </c>
      <c r="D341" s="97" t="s">
        <v>528</v>
      </c>
      <c r="E341" s="97"/>
      <c r="F341" s="97"/>
    </row>
    <row r="342" spans="1:6" ht="15" customHeight="1" x14ac:dyDescent="0.25">
      <c r="A342" s="97">
        <v>1282</v>
      </c>
      <c r="B342" s="97" t="s">
        <v>581</v>
      </c>
      <c r="C342" s="101">
        <v>41302</v>
      </c>
      <c r="D342" s="97" t="s">
        <v>526</v>
      </c>
      <c r="E342" s="97"/>
      <c r="F342" s="97"/>
    </row>
    <row r="343" spans="1:6" ht="15" customHeight="1" x14ac:dyDescent="0.25">
      <c r="A343" s="97">
        <v>983</v>
      </c>
      <c r="B343" s="97" t="s">
        <v>582</v>
      </c>
      <c r="C343" s="101">
        <v>39225</v>
      </c>
      <c r="D343" s="97" t="s">
        <v>583</v>
      </c>
      <c r="E343" s="97"/>
      <c r="F343" s="97"/>
    </row>
    <row r="344" spans="1:6" ht="15" customHeight="1" x14ac:dyDescent="0.25">
      <c r="A344" s="97">
        <v>1297</v>
      </c>
      <c r="B344" s="97" t="s">
        <v>584</v>
      </c>
      <c r="C344" s="101">
        <v>41388</v>
      </c>
      <c r="D344" s="97" t="s">
        <v>583</v>
      </c>
      <c r="E344" s="97"/>
      <c r="F344" s="97"/>
    </row>
    <row r="345" spans="1:6" ht="15" customHeight="1" x14ac:dyDescent="0.25">
      <c r="A345" s="97">
        <v>1324</v>
      </c>
      <c r="B345" s="97" t="s">
        <v>585</v>
      </c>
      <c r="C345" s="101">
        <v>41603</v>
      </c>
      <c r="D345" s="97" t="s">
        <v>530</v>
      </c>
      <c r="E345" s="97"/>
      <c r="F345" s="97"/>
    </row>
    <row r="346" spans="1:6" ht="15" customHeight="1" x14ac:dyDescent="0.25">
      <c r="A346" s="97">
        <v>1242</v>
      </c>
      <c r="B346" s="97" t="s">
        <v>586</v>
      </c>
      <c r="C346" s="101">
        <v>41095</v>
      </c>
      <c r="D346" s="97" t="s">
        <v>528</v>
      </c>
      <c r="E346" s="97"/>
      <c r="F346" s="97"/>
    </row>
    <row r="347" spans="1:6" ht="15" customHeight="1" x14ac:dyDescent="0.25">
      <c r="A347" s="97">
        <v>1077</v>
      </c>
      <c r="B347" s="97" t="s">
        <v>587</v>
      </c>
      <c r="C347" s="101">
        <v>40942</v>
      </c>
      <c r="D347" s="97" t="s">
        <v>528</v>
      </c>
      <c r="E347" s="97"/>
      <c r="F347" s="97"/>
    </row>
    <row r="348" spans="1:6" ht="15" customHeight="1" x14ac:dyDescent="0.25">
      <c r="A348" s="97">
        <v>1228</v>
      </c>
      <c r="B348" s="97" t="s">
        <v>293</v>
      </c>
      <c r="C348" s="101">
        <v>41039</v>
      </c>
      <c r="D348" s="97" t="s">
        <v>528</v>
      </c>
      <c r="E348" s="97"/>
      <c r="F348" s="97"/>
    </row>
    <row r="349" spans="1:6" ht="15" customHeight="1" x14ac:dyDescent="0.25">
      <c r="A349" s="97">
        <v>1264</v>
      </c>
      <c r="B349" s="97" t="s">
        <v>588</v>
      </c>
      <c r="C349" s="101">
        <v>41159</v>
      </c>
      <c r="D349" s="97" t="s">
        <v>530</v>
      </c>
      <c r="E349" s="97"/>
      <c r="F349" s="97"/>
    </row>
    <row r="350" spans="1:6" ht="15" customHeight="1" x14ac:dyDescent="0.25">
      <c r="A350" s="97">
        <v>1389</v>
      </c>
      <c r="B350" s="97" t="s">
        <v>589</v>
      </c>
      <c r="C350" s="101">
        <v>41894</v>
      </c>
      <c r="D350" s="97" t="s">
        <v>526</v>
      </c>
      <c r="E350" s="97"/>
      <c r="F350" s="97"/>
    </row>
    <row r="351" spans="1:6" ht="15" customHeight="1" x14ac:dyDescent="0.25">
      <c r="A351" s="97">
        <v>1240</v>
      </c>
      <c r="B351" s="97" t="s">
        <v>590</v>
      </c>
      <c r="C351" s="101">
        <v>41059</v>
      </c>
      <c r="D351" s="97" t="s">
        <v>528</v>
      </c>
      <c r="E351" s="97"/>
      <c r="F351" s="97"/>
    </row>
    <row r="352" spans="1:6" ht="15" customHeight="1" x14ac:dyDescent="0.25">
      <c r="A352" s="97">
        <v>1162</v>
      </c>
      <c r="B352" s="97" t="s">
        <v>591</v>
      </c>
      <c r="C352" s="101">
        <v>38651</v>
      </c>
      <c r="D352" s="97" t="s">
        <v>528</v>
      </c>
      <c r="E352" s="97"/>
      <c r="F352" s="97"/>
    </row>
    <row r="353" spans="1:6" ht="15" customHeight="1" x14ac:dyDescent="0.25">
      <c r="A353" s="97">
        <v>1324</v>
      </c>
      <c r="B353" s="97" t="s">
        <v>592</v>
      </c>
      <c r="C353" s="101">
        <v>41550</v>
      </c>
      <c r="D353" s="97" t="s">
        <v>565</v>
      </c>
      <c r="E353" s="97"/>
      <c r="F353" s="97"/>
    </row>
    <row r="354" spans="1:6" ht="15" customHeight="1" x14ac:dyDescent="0.25">
      <c r="A354" s="97">
        <v>1291</v>
      </c>
      <c r="B354" s="97" t="s">
        <v>593</v>
      </c>
      <c r="C354" s="114">
        <v>41337</v>
      </c>
      <c r="D354" s="97" t="s">
        <v>583</v>
      </c>
      <c r="E354" s="97"/>
      <c r="F354" s="97"/>
    </row>
    <row r="355" spans="1:6" ht="15" customHeight="1" x14ac:dyDescent="0.25">
      <c r="A355" s="97"/>
      <c r="B355" s="97"/>
      <c r="C355" s="97"/>
      <c r="D355" s="97"/>
      <c r="E355" s="97"/>
      <c r="F355" s="97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33"/>
  <sheetViews>
    <sheetView zoomScaleNormal="100" workbookViewId="0"/>
  </sheetViews>
  <sheetFormatPr defaultColWidth="8.7109375" defaultRowHeight="15" x14ac:dyDescent="0.25"/>
  <sheetData>
    <row r="1" spans="1:4" ht="15" customHeight="1" x14ac:dyDescent="0.25">
      <c r="A1" t="s">
        <v>594</v>
      </c>
      <c r="B1" t="s">
        <v>595</v>
      </c>
      <c r="C1" t="s">
        <v>596</v>
      </c>
      <c r="D1" t="s">
        <v>597</v>
      </c>
    </row>
    <row r="2" spans="1:4" ht="15" customHeight="1" x14ac:dyDescent="0.25">
      <c r="A2" t="s">
        <v>35</v>
      </c>
      <c r="B2" t="s">
        <v>598</v>
      </c>
      <c r="C2">
        <v>210</v>
      </c>
      <c r="D2">
        <v>126</v>
      </c>
    </row>
    <row r="3" spans="1:4" ht="15" customHeight="1" x14ac:dyDescent="0.25">
      <c r="A3" t="s">
        <v>36</v>
      </c>
      <c r="B3" t="s">
        <v>599</v>
      </c>
      <c r="C3">
        <v>195</v>
      </c>
      <c r="D3">
        <v>117</v>
      </c>
    </row>
    <row r="4" spans="1:4" ht="15" customHeight="1" x14ac:dyDescent="0.25">
      <c r="A4" t="s">
        <v>37</v>
      </c>
      <c r="B4" t="s">
        <v>600</v>
      </c>
      <c r="C4">
        <v>200</v>
      </c>
      <c r="D4">
        <v>120</v>
      </c>
    </row>
    <row r="5" spans="1:4" ht="15" customHeight="1" x14ac:dyDescent="0.25">
      <c r="A5" t="s">
        <v>38</v>
      </c>
      <c r="B5" t="s">
        <v>601</v>
      </c>
      <c r="C5">
        <v>200</v>
      </c>
      <c r="D5">
        <v>120</v>
      </c>
    </row>
    <row r="6" spans="1:4" ht="15" customHeight="1" x14ac:dyDescent="0.25">
      <c r="A6" t="s">
        <v>39</v>
      </c>
      <c r="B6" t="s">
        <v>602</v>
      </c>
      <c r="C6">
        <v>190</v>
      </c>
      <c r="D6">
        <v>114</v>
      </c>
    </row>
    <row r="7" spans="1:4" ht="15" customHeight="1" x14ac:dyDescent="0.25">
      <c r="A7" t="s">
        <v>40</v>
      </c>
      <c r="B7" t="s">
        <v>603</v>
      </c>
      <c r="C7">
        <v>210</v>
      </c>
      <c r="D7">
        <v>126</v>
      </c>
    </row>
    <row r="8" spans="1:4" ht="15" customHeight="1" x14ac:dyDescent="0.25">
      <c r="A8" t="s">
        <v>41</v>
      </c>
      <c r="B8" t="s">
        <v>604</v>
      </c>
      <c r="C8">
        <v>235</v>
      </c>
      <c r="D8">
        <v>141</v>
      </c>
    </row>
    <row r="9" spans="1:4" ht="15" customHeight="1" x14ac:dyDescent="0.25">
      <c r="A9" t="s">
        <v>42</v>
      </c>
      <c r="B9" t="s">
        <v>605</v>
      </c>
      <c r="C9">
        <v>180</v>
      </c>
      <c r="D9">
        <v>108</v>
      </c>
    </row>
    <row r="10" spans="1:4" ht="15" customHeight="1" x14ac:dyDescent="0.25">
      <c r="A10" t="s">
        <v>43</v>
      </c>
      <c r="B10" t="s">
        <v>606</v>
      </c>
      <c r="C10">
        <v>215</v>
      </c>
      <c r="D10">
        <v>129</v>
      </c>
    </row>
    <row r="11" spans="1:4" ht="15" customHeight="1" x14ac:dyDescent="0.25">
      <c r="A11" t="s">
        <v>44</v>
      </c>
      <c r="B11" t="s">
        <v>607</v>
      </c>
      <c r="C11">
        <v>235</v>
      </c>
      <c r="D11">
        <v>141</v>
      </c>
    </row>
    <row r="12" spans="1:4" ht="15" customHeight="1" x14ac:dyDescent="0.25">
      <c r="A12" t="s">
        <v>45</v>
      </c>
      <c r="B12" t="s">
        <v>608</v>
      </c>
      <c r="C12">
        <v>190</v>
      </c>
      <c r="D12">
        <v>114</v>
      </c>
    </row>
    <row r="13" spans="1:4" ht="15" customHeight="1" x14ac:dyDescent="0.25">
      <c r="A13" t="s">
        <v>46</v>
      </c>
      <c r="B13" t="s">
        <v>609</v>
      </c>
      <c r="C13">
        <v>200</v>
      </c>
      <c r="D13">
        <v>120</v>
      </c>
    </row>
    <row r="14" spans="1:4" ht="15" customHeight="1" x14ac:dyDescent="0.25">
      <c r="A14" t="s">
        <v>47</v>
      </c>
      <c r="B14" t="s">
        <v>610</v>
      </c>
      <c r="C14">
        <v>195</v>
      </c>
      <c r="D14">
        <v>117</v>
      </c>
    </row>
    <row r="15" spans="1:4" ht="15" customHeight="1" x14ac:dyDescent="0.25">
      <c r="A15" t="s">
        <v>48</v>
      </c>
      <c r="B15" t="s">
        <v>611</v>
      </c>
      <c r="C15">
        <v>210</v>
      </c>
      <c r="D15">
        <v>126</v>
      </c>
    </row>
    <row r="16" spans="1:4" ht="15" customHeight="1" x14ac:dyDescent="0.25">
      <c r="A16" t="s">
        <v>49</v>
      </c>
      <c r="B16" t="s">
        <v>612</v>
      </c>
      <c r="C16">
        <v>195</v>
      </c>
      <c r="D16">
        <v>117</v>
      </c>
    </row>
    <row r="17" spans="1:4" ht="15" customHeight="1" x14ac:dyDescent="0.25">
      <c r="A17" t="s">
        <v>50</v>
      </c>
      <c r="B17" t="s">
        <v>613</v>
      </c>
      <c r="C17">
        <v>210</v>
      </c>
      <c r="D17">
        <v>126</v>
      </c>
    </row>
    <row r="18" spans="1:4" ht="15" customHeight="1" x14ac:dyDescent="0.25">
      <c r="A18" t="s">
        <v>51</v>
      </c>
      <c r="B18" t="s">
        <v>614</v>
      </c>
      <c r="C18">
        <v>190</v>
      </c>
      <c r="D18">
        <v>114</v>
      </c>
    </row>
    <row r="19" spans="1:4" ht="15" customHeight="1" x14ac:dyDescent="0.25">
      <c r="A19" t="s">
        <v>55</v>
      </c>
      <c r="B19" t="s">
        <v>615</v>
      </c>
      <c r="C19">
        <v>210</v>
      </c>
      <c r="D19">
        <v>126</v>
      </c>
    </row>
    <row r="20" spans="1:4" ht="15" customHeight="1" x14ac:dyDescent="0.25">
      <c r="A20" t="s">
        <v>59</v>
      </c>
      <c r="B20" t="s">
        <v>616</v>
      </c>
      <c r="C20">
        <v>200</v>
      </c>
      <c r="D20">
        <v>120</v>
      </c>
    </row>
    <row r="21" spans="1:4" ht="15" customHeight="1" x14ac:dyDescent="0.25">
      <c r="A21" t="s">
        <v>63</v>
      </c>
      <c r="B21" t="s">
        <v>617</v>
      </c>
      <c r="C21">
        <v>195</v>
      </c>
      <c r="D21">
        <v>117</v>
      </c>
    </row>
    <row r="22" spans="1:4" ht="15" customHeight="1" x14ac:dyDescent="0.25">
      <c r="A22" t="s">
        <v>67</v>
      </c>
      <c r="B22" t="s">
        <v>618</v>
      </c>
      <c r="C22">
        <v>220</v>
      </c>
      <c r="D22">
        <v>132</v>
      </c>
    </row>
    <row r="23" spans="1:4" ht="15" customHeight="1" x14ac:dyDescent="0.25">
      <c r="A23" t="s">
        <v>71</v>
      </c>
      <c r="B23" t="s">
        <v>619</v>
      </c>
      <c r="C23">
        <v>220</v>
      </c>
      <c r="D23">
        <v>132</v>
      </c>
    </row>
    <row r="24" spans="1:4" ht="15" customHeight="1" x14ac:dyDescent="0.25">
      <c r="A24" t="s">
        <v>74</v>
      </c>
      <c r="B24" t="s">
        <v>620</v>
      </c>
      <c r="C24">
        <v>165</v>
      </c>
      <c r="D24">
        <v>99</v>
      </c>
    </row>
    <row r="25" spans="1:4" ht="15" customHeight="1" x14ac:dyDescent="0.25">
      <c r="A25" t="s">
        <v>77</v>
      </c>
      <c r="B25" t="s">
        <v>621</v>
      </c>
      <c r="C25">
        <v>195</v>
      </c>
      <c r="D25">
        <v>117</v>
      </c>
    </row>
    <row r="26" spans="1:4" ht="15" customHeight="1" x14ac:dyDescent="0.25">
      <c r="A26" t="s">
        <v>79</v>
      </c>
      <c r="B26" t="s">
        <v>622</v>
      </c>
      <c r="C26">
        <v>185</v>
      </c>
      <c r="D26">
        <v>111</v>
      </c>
    </row>
    <row r="27" spans="1:4" ht="15" customHeight="1" x14ac:dyDescent="0.25">
      <c r="A27" t="s">
        <v>81</v>
      </c>
      <c r="B27" t="s">
        <v>623</v>
      </c>
      <c r="C27">
        <v>210</v>
      </c>
      <c r="D27">
        <v>126</v>
      </c>
    </row>
    <row r="28" spans="1:4" ht="15" customHeight="1" x14ac:dyDescent="0.25">
      <c r="A28" t="s">
        <v>83</v>
      </c>
      <c r="B28" t="s">
        <v>624</v>
      </c>
      <c r="C28">
        <v>195</v>
      </c>
      <c r="D28">
        <v>117</v>
      </c>
    </row>
    <row r="29" spans="1:4" ht="15" customHeight="1" x14ac:dyDescent="0.25">
      <c r="A29" t="s">
        <v>85</v>
      </c>
      <c r="B29" t="s">
        <v>625</v>
      </c>
      <c r="C29">
        <v>205</v>
      </c>
      <c r="D29">
        <v>123</v>
      </c>
    </row>
    <row r="30" spans="1:4" ht="15" customHeight="1" x14ac:dyDescent="0.25">
      <c r="A30" t="s">
        <v>87</v>
      </c>
      <c r="B30" t="s">
        <v>626</v>
      </c>
      <c r="C30">
        <v>220</v>
      </c>
      <c r="D30">
        <v>132</v>
      </c>
    </row>
    <row r="31" spans="1:4" ht="15" customHeight="1" x14ac:dyDescent="0.25">
      <c r="A31" t="s">
        <v>89</v>
      </c>
      <c r="B31" t="s">
        <v>627</v>
      </c>
      <c r="C31">
        <v>210</v>
      </c>
      <c r="D31">
        <v>126</v>
      </c>
    </row>
    <row r="32" spans="1:4" ht="15" customHeight="1" x14ac:dyDescent="0.25">
      <c r="A32" t="s">
        <v>91</v>
      </c>
      <c r="B32" t="s">
        <v>628</v>
      </c>
      <c r="C32">
        <v>160</v>
      </c>
      <c r="D32">
        <v>96</v>
      </c>
    </row>
    <row r="33" spans="1:4" ht="15" customHeight="1" x14ac:dyDescent="0.25">
      <c r="A33" t="s">
        <v>93</v>
      </c>
      <c r="B33" t="s">
        <v>629</v>
      </c>
      <c r="C33">
        <v>210</v>
      </c>
      <c r="D33">
        <v>126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Rebill Sheet</vt:lpstr>
      <vt:lpstr>Rebill Sheet (2)</vt:lpstr>
      <vt:lpstr>Keys</vt:lpstr>
      <vt:lpstr>Paclease Customers 081919</vt:lpstr>
      <vt:lpstr>Paclease Customers 121216</vt:lpstr>
      <vt:lpstr>LaborRates</vt:lpstr>
      <vt:lpstr>'Rebill Sheet'!Print_Area</vt:lpstr>
      <vt:lpstr>'Rebill Sheet (2)'!Print_Area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Park</dc:creator>
  <dc:description/>
  <cp:lastModifiedBy>john robinson</cp:lastModifiedBy>
  <cp:revision>0</cp:revision>
  <dcterms:created xsi:type="dcterms:W3CDTF">2014-07-09T15:40:27Z</dcterms:created>
  <dcterms:modified xsi:type="dcterms:W3CDTF">2026-04-09T21:35:52Z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0x010100933C9A90ABA7494B8A52739690E43360</vt:lpwstr>
  </property>
  <property fmtid="{D5CDD505-2E9C-101B-9397-08002B2CF9AE}" pid="3" name="Order">
    <vt:r8>3181800</vt:r8>
  </property>
</Properties>
</file>