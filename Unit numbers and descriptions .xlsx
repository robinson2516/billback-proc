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gpete-my.sharepoint.com/personal/jrobinson_jgpete_com/Documents/Documents/AI Project/"/>
    </mc:Choice>
  </mc:AlternateContent>
  <xr:revisionPtr revIDLastSave="0" documentId="8_{11DA9A4A-2C7B-4259-BB5A-626F22268B42}" xr6:coauthVersionLast="47" xr6:coauthVersionMax="47" xr10:uidLastSave="{00000000-0000-0000-0000-000000000000}"/>
  <bookViews>
    <workbookView xWindow="-120" yWindow="-120" windowWidth="29040" windowHeight="15720" xr2:uid="{CC46E045-8CC4-4E98-B4B2-E8E27C08E8F0}"/>
  </bookViews>
  <sheets>
    <sheet name="MASTER" sheetId="1" r:id="rId1"/>
  </sheets>
  <definedNames>
    <definedName name="_xlnm._FilterDatabase" localSheetId="0" hidden="1">MASTER!$A$1:$V$513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3" i="1" l="1"/>
  <c r="L512" i="1"/>
  <c r="L511" i="1"/>
  <c r="L510" i="1"/>
  <c r="L509" i="1"/>
  <c r="L508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50" i="1"/>
  <c r="L349" i="1"/>
  <c r="L348" i="1"/>
  <c r="L347" i="1"/>
  <c r="L346" i="1"/>
  <c r="L345" i="1"/>
  <c r="L344" i="1"/>
  <c r="L343" i="1"/>
  <c r="L342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<sst xmlns="http://schemas.openxmlformats.org/spreadsheetml/2006/main" count="3906" uniqueCount="1342">
  <si>
    <t>Vehicle</t>
  </si>
  <si>
    <t>Customer unit number</t>
  </si>
  <si>
    <t>Owner</t>
  </si>
  <si>
    <t>Name</t>
  </si>
  <si>
    <t>VIN</t>
  </si>
  <si>
    <t>Year</t>
  </si>
  <si>
    <t>Make</t>
  </si>
  <si>
    <t>Model</t>
  </si>
  <si>
    <t>Registration List</t>
  </si>
  <si>
    <t>In Service</t>
  </si>
  <si>
    <t>Term date</t>
  </si>
  <si>
    <t>MIS</t>
  </si>
  <si>
    <t>License Plate</t>
  </si>
  <si>
    <t>Axles</t>
  </si>
  <si>
    <t>Tires Info</t>
  </si>
  <si>
    <t>Key Code</t>
  </si>
  <si>
    <t>Co. Code</t>
  </si>
  <si>
    <t xml:space="preserve"> Sub Units </t>
  </si>
  <si>
    <t>Taxable</t>
  </si>
  <si>
    <t>Engine</t>
  </si>
  <si>
    <t>Lift gate SER#</t>
  </si>
  <si>
    <t>Notes</t>
  </si>
  <si>
    <t>112-1147</t>
  </si>
  <si>
    <t>Stephanie Brown</t>
  </si>
  <si>
    <t>Rental</t>
  </si>
  <si>
    <t>1XPBDP9X2KD638878</t>
  </si>
  <si>
    <t>Pete</t>
  </si>
  <si>
    <t>112-1166</t>
  </si>
  <si>
    <t>1XPBPP9X9LD709387</t>
  </si>
  <si>
    <t>2020</t>
  </si>
  <si>
    <t>PETE</t>
  </si>
  <si>
    <t>579</t>
  </si>
  <si>
    <t>Oregon PLate</t>
  </si>
  <si>
    <t>112-1224</t>
  </si>
  <si>
    <t>Kris Moonyham</t>
  </si>
  <si>
    <t>Northwest Distribution - Gold Star Foods</t>
  </si>
  <si>
    <t>1XPBDP9X6MD744172</t>
  </si>
  <si>
    <t>112-2138</t>
  </si>
  <si>
    <t>1XPBDP9X1MD751529</t>
  </si>
  <si>
    <t>2021</t>
  </si>
  <si>
    <t>112-2156</t>
  </si>
  <si>
    <t>1XPBDP9X5ND774765</t>
  </si>
  <si>
    <t>112-2178</t>
  </si>
  <si>
    <t>1XPBDP9X7RD656447</t>
  </si>
  <si>
    <t>2024</t>
  </si>
  <si>
    <t>112-2205</t>
  </si>
  <si>
    <t>1XPBDP9X8SD755333</t>
  </si>
  <si>
    <t>112-2206</t>
  </si>
  <si>
    <t>1XPBDP9X2SD755764</t>
  </si>
  <si>
    <t>112-2208</t>
  </si>
  <si>
    <t>1XPBDP9X6SD755766</t>
  </si>
  <si>
    <t>112-2210</t>
  </si>
  <si>
    <t>1XPEP49X4SD764713</t>
  </si>
  <si>
    <t>112-2211</t>
  </si>
  <si>
    <t>1XPEP49X2SD764712</t>
  </si>
  <si>
    <t>112-2212</t>
  </si>
  <si>
    <t>1XPEP49X4SD764534</t>
  </si>
  <si>
    <t>112-2213</t>
  </si>
  <si>
    <t>1XPEP49X6SD764535</t>
  </si>
  <si>
    <t>112-2215</t>
  </si>
  <si>
    <t>Phase II</t>
  </si>
  <si>
    <t>1XPCP49X0SD765638</t>
  </si>
  <si>
    <t>112-2219</t>
  </si>
  <si>
    <t>1XPBDP9X0SD770019</t>
  </si>
  <si>
    <t>112-2226</t>
  </si>
  <si>
    <t>1XPBD49X2TD802436</t>
  </si>
  <si>
    <t>112-2229</t>
  </si>
  <si>
    <t>Jensen Drilling</t>
  </si>
  <si>
    <t>112-2232</t>
  </si>
  <si>
    <t>4AXSLPR</t>
  </si>
  <si>
    <t>Oregon</t>
  </si>
  <si>
    <t>112-2233</t>
  </si>
  <si>
    <t>112-2234</t>
  </si>
  <si>
    <t>112-3109</t>
  </si>
  <si>
    <t>Northwest Transplant</t>
  </si>
  <si>
    <t>112-4010</t>
  </si>
  <si>
    <t>Leavitt Machinery</t>
  </si>
  <si>
    <t xml:space="preserve">Contract maintenance, doing their own fuel tax, registrations, and 2290's. </t>
  </si>
  <si>
    <t>112-4033</t>
  </si>
  <si>
    <t>Horner Enterprises</t>
  </si>
  <si>
    <t>346-109</t>
  </si>
  <si>
    <t>John Robinson</t>
  </si>
  <si>
    <t>C &amp; H Distributing Co Inc.</t>
  </si>
  <si>
    <t>2XP2AJ7X4KM647231</t>
  </si>
  <si>
    <t>2019</t>
  </si>
  <si>
    <t>330</t>
  </si>
  <si>
    <t xml:space="preserve"> BP January</t>
  </si>
  <si>
    <t>G394</t>
  </si>
  <si>
    <t>No</t>
  </si>
  <si>
    <t>Yes</t>
  </si>
  <si>
    <t>346-110</t>
  </si>
  <si>
    <t>2XP2AJ7X6KM647232</t>
  </si>
  <si>
    <t>G247</t>
  </si>
  <si>
    <t>346-112</t>
  </si>
  <si>
    <t>2XP2AJ7XXKM647234</t>
  </si>
  <si>
    <t>BP May</t>
  </si>
  <si>
    <t>346-114</t>
  </si>
  <si>
    <t>B349</t>
  </si>
  <si>
    <t>B H Inc - Dba Bhi</t>
  </si>
  <si>
    <t>1XPXD40X0MD735954</t>
  </si>
  <si>
    <t>389</t>
  </si>
  <si>
    <t>Customer</t>
  </si>
  <si>
    <t>SLC</t>
  </si>
  <si>
    <t>Tires not Included</t>
  </si>
  <si>
    <t>G481</t>
  </si>
  <si>
    <t>346-125</t>
  </si>
  <si>
    <t>B500</t>
  </si>
  <si>
    <t>2NPMHJ7X3RM643292</t>
  </si>
  <si>
    <t>536</t>
  </si>
  <si>
    <t>June</t>
  </si>
  <si>
    <t>VERNAL</t>
  </si>
  <si>
    <t>TOTALED</t>
  </si>
  <si>
    <t>346-126</t>
  </si>
  <si>
    <t>B501</t>
  </si>
  <si>
    <t>1XPCD49X4RD605507</t>
  </si>
  <si>
    <t>567</t>
  </si>
  <si>
    <t>PHX</t>
  </si>
  <si>
    <t>346-127</t>
  </si>
  <si>
    <t>B507</t>
  </si>
  <si>
    <t>1XPCD49XXRD605513</t>
  </si>
  <si>
    <t>346-128</t>
  </si>
  <si>
    <t>B508</t>
  </si>
  <si>
    <t>1XPCD49X1RD605514</t>
  </si>
  <si>
    <t>346-129</t>
  </si>
  <si>
    <t>B509</t>
  </si>
  <si>
    <t>1XPCD49X3RD605515</t>
  </si>
  <si>
    <t>346-130</t>
  </si>
  <si>
    <t>B510</t>
  </si>
  <si>
    <t>1XPCD49X5RD605516</t>
  </si>
  <si>
    <t>TX</t>
  </si>
  <si>
    <t>346-131</t>
  </si>
  <si>
    <t>B502</t>
  </si>
  <si>
    <t>1XPCD49X6RD605508</t>
  </si>
  <si>
    <t>346-132</t>
  </si>
  <si>
    <t>B503</t>
  </si>
  <si>
    <t>1XPCD49X8RD605509</t>
  </si>
  <si>
    <t>346-133</t>
  </si>
  <si>
    <t>B504</t>
  </si>
  <si>
    <t>1XPCD49X4RD605510</t>
  </si>
  <si>
    <t>346-134</t>
  </si>
  <si>
    <t>B505</t>
  </si>
  <si>
    <t>1XPCD49X6RD605511</t>
  </si>
  <si>
    <t>346-135</t>
  </si>
  <si>
    <t>B506</t>
  </si>
  <si>
    <t>1XPCD49X8RD605512</t>
  </si>
  <si>
    <t>346-136</t>
  </si>
  <si>
    <t>B797</t>
  </si>
  <si>
    <t>1XPCD40X7SD692029</t>
  </si>
  <si>
    <t>2025</t>
  </si>
  <si>
    <t>346-137</t>
  </si>
  <si>
    <t>B798</t>
  </si>
  <si>
    <t>1XPCD40X3SD692030</t>
  </si>
  <si>
    <t>346-138</t>
  </si>
  <si>
    <t>B799</t>
  </si>
  <si>
    <t>1XPCD40X5SD692031</t>
  </si>
  <si>
    <t>346-139</t>
  </si>
  <si>
    <t>B800</t>
  </si>
  <si>
    <t>1XPCD40X7SD692032</t>
  </si>
  <si>
    <t>346-140</t>
  </si>
  <si>
    <t>B801</t>
  </si>
  <si>
    <t>1XPCD40X9SD692033</t>
  </si>
  <si>
    <t>346-141</t>
  </si>
  <si>
    <t>B735</t>
  </si>
  <si>
    <t>1XPCD49X0RD689860</t>
  </si>
  <si>
    <t>STRUCK BY LIGHTENING</t>
  </si>
  <si>
    <t>346-142</t>
  </si>
  <si>
    <t>B736</t>
  </si>
  <si>
    <t>1XPCD49X2RD689861</t>
  </si>
  <si>
    <t>346-143</t>
  </si>
  <si>
    <t>B737</t>
  </si>
  <si>
    <t>1XPCD49X4RD689862</t>
  </si>
  <si>
    <t>March</t>
  </si>
  <si>
    <t>346-144</t>
  </si>
  <si>
    <t>B738</t>
  </si>
  <si>
    <t>1XPCD49X6RD689863</t>
  </si>
  <si>
    <t>346-145</t>
  </si>
  <si>
    <t>B739</t>
  </si>
  <si>
    <t>1XPCD49X8RD689864</t>
  </si>
  <si>
    <t>346-146</t>
  </si>
  <si>
    <t>Integrated Water Management</t>
  </si>
  <si>
    <t>1XPCP4EX9SD747919</t>
  </si>
  <si>
    <t>Apportioned</t>
  </si>
  <si>
    <t>346-147</t>
  </si>
  <si>
    <t>1XPCP4EXXSD747914</t>
  </si>
  <si>
    <t>346-148</t>
  </si>
  <si>
    <t>1XPCP4EX1SD747915</t>
  </si>
  <si>
    <t>346-149</t>
  </si>
  <si>
    <t>2NPKHM6X0SM755452</t>
  </si>
  <si>
    <t xml:space="preserve"> BP November</t>
  </si>
  <si>
    <t>346-150</t>
  </si>
  <si>
    <t>B998</t>
  </si>
  <si>
    <t>1XPCD49X8TD797506</t>
  </si>
  <si>
    <t>Z004400</t>
  </si>
  <si>
    <t>348-126</t>
  </si>
  <si>
    <t>Ruby Mtn Natural Spring Water - Reed Ranching</t>
  </si>
  <si>
    <t>1XPBAP8X2KD631617</t>
  </si>
  <si>
    <t>Single axle</t>
  </si>
  <si>
    <t>P1400</t>
  </si>
  <si>
    <t>348-132</t>
  </si>
  <si>
    <t>1XPCDP0X8LD700822</t>
  </si>
  <si>
    <t>P0319</t>
  </si>
  <si>
    <t>348-169</t>
  </si>
  <si>
    <t>ST-35</t>
  </si>
  <si>
    <t>Hunt &amp; Sons Inc.</t>
  </si>
  <si>
    <t>1XPCP40X6PD802504</t>
  </si>
  <si>
    <t>2023</t>
  </si>
  <si>
    <t>348-170</t>
  </si>
  <si>
    <t>Elevation Transport</t>
  </si>
  <si>
    <t>1XPTP4EX0RD822730</t>
  </si>
  <si>
    <t>357</t>
  </si>
  <si>
    <t>348-171</t>
  </si>
  <si>
    <t>ST-37</t>
  </si>
  <si>
    <t>1XPCPP0X8PD888304</t>
  </si>
  <si>
    <t>348-172</t>
  </si>
  <si>
    <t>ST-38</t>
  </si>
  <si>
    <t>1XPCDP9X1PD870934</t>
  </si>
  <si>
    <t>348-173</t>
  </si>
  <si>
    <t>1XPTP4EX6RD644175</t>
  </si>
  <si>
    <t>Check Trimble</t>
  </si>
  <si>
    <t>348-174</t>
  </si>
  <si>
    <t>1XPXD49X2RD644176</t>
  </si>
  <si>
    <t>348-175</t>
  </si>
  <si>
    <t>1XPXD49X4RD644177</t>
  </si>
  <si>
    <t>348-176</t>
  </si>
  <si>
    <t>ST-42</t>
  </si>
  <si>
    <t>1XPCDP9X7RD601999</t>
  </si>
  <si>
    <t>348-177</t>
  </si>
  <si>
    <t>ST-43</t>
  </si>
  <si>
    <t>1XPCDP9X8RD602000</t>
  </si>
  <si>
    <t>348-178</t>
  </si>
  <si>
    <t>F-119</t>
  </si>
  <si>
    <t>1NPCLP0X4RD655612</t>
  </si>
  <si>
    <t>348-179</t>
  </si>
  <si>
    <t>ST-46</t>
  </si>
  <si>
    <t>1XPCDP9X0RD656844</t>
  </si>
  <si>
    <t>348-180</t>
  </si>
  <si>
    <t>ST-47</t>
  </si>
  <si>
    <t>1XPCDP9X9RD677532</t>
  </si>
  <si>
    <t>348-181</t>
  </si>
  <si>
    <t>ST-48</t>
  </si>
  <si>
    <t>1XPCP40X3RD666688</t>
  </si>
  <si>
    <t>348-182</t>
  </si>
  <si>
    <t>ST-50</t>
  </si>
  <si>
    <t>1XPCP40X7RD668377</t>
  </si>
  <si>
    <t>348-183</t>
  </si>
  <si>
    <t>ST-52</t>
  </si>
  <si>
    <t>1XPCP40X1RD669363</t>
  </si>
  <si>
    <t>348-184</t>
  </si>
  <si>
    <t>ST-53</t>
  </si>
  <si>
    <t>1XPCP40X3RD669364</t>
  </si>
  <si>
    <t>348-185</t>
  </si>
  <si>
    <t>ST-39</t>
  </si>
  <si>
    <t>1XPCP40X5RD669365</t>
  </si>
  <si>
    <t>348-186</t>
  </si>
  <si>
    <t>ST-40</t>
  </si>
  <si>
    <t>1XPCP40X7RD669366</t>
  </si>
  <si>
    <t>348-187</t>
  </si>
  <si>
    <t>ST-49</t>
  </si>
  <si>
    <t>1XPCP40X9RD669367</t>
  </si>
  <si>
    <t>348-188</t>
  </si>
  <si>
    <t>ST-51</t>
  </si>
  <si>
    <t>1XPCP40X0RD669368</t>
  </si>
  <si>
    <t>348-189</t>
  </si>
  <si>
    <t>ST-41</t>
  </si>
  <si>
    <t>1XPCP40X2RD669369</t>
  </si>
  <si>
    <t>348-190</t>
  </si>
  <si>
    <t>ST-44</t>
  </si>
  <si>
    <t>1XPCDP9X2RD668378</t>
  </si>
  <si>
    <t>348-191</t>
  </si>
  <si>
    <t>F-123</t>
  </si>
  <si>
    <t>2NPKHJ6X4RM684815</t>
  </si>
  <si>
    <t>348-192</t>
  </si>
  <si>
    <t>ST-54</t>
  </si>
  <si>
    <t>1XPCP40X3RD685340</t>
  </si>
  <si>
    <t>348-193</t>
  </si>
  <si>
    <t>1XPED49X6SD716316</t>
  </si>
  <si>
    <t>348-194</t>
  </si>
  <si>
    <t>F-130</t>
  </si>
  <si>
    <t>1NPCLP0X9SD716314</t>
  </si>
  <si>
    <t>348-195</t>
  </si>
  <si>
    <t>F-131</t>
  </si>
  <si>
    <t>1NPCLP0X0SD716315</t>
  </si>
  <si>
    <t>348-196</t>
  </si>
  <si>
    <t>Scott Seamons</t>
  </si>
  <si>
    <t>Reed Ranching Co</t>
  </si>
  <si>
    <t>Ruby Mountain</t>
  </si>
  <si>
    <t>1XPCAP8X7TD817546</t>
  </si>
  <si>
    <t>348-200</t>
  </si>
  <si>
    <t>ST-55</t>
  </si>
  <si>
    <t>1XPCP40X7SD761681</t>
  </si>
  <si>
    <t xml:space="preserve"> 4 Axle DC</t>
  </si>
  <si>
    <t>348-201</t>
  </si>
  <si>
    <t>ST-56</t>
  </si>
  <si>
    <t>1XPCP40X9SD761682</t>
  </si>
  <si>
    <t>4 Axle DC</t>
  </si>
  <si>
    <t>348-202</t>
  </si>
  <si>
    <t>ST-57</t>
  </si>
  <si>
    <t>1XPCP40X0SD761683</t>
  </si>
  <si>
    <t>4 Axle SLP</t>
  </si>
  <si>
    <t>430-163</t>
  </si>
  <si>
    <t>Consolidated Supply</t>
  </si>
  <si>
    <t>2NP2HM6X9KM610927</t>
  </si>
  <si>
    <t>430-169</t>
  </si>
  <si>
    <t>2NP3LJ9X6LM677709</t>
  </si>
  <si>
    <t>348</t>
  </si>
  <si>
    <t>430-177</t>
  </si>
  <si>
    <t>Diamond Line Delivery Systems Inc.</t>
  </si>
  <si>
    <t>1XPBD49X9MD766049</t>
  </si>
  <si>
    <t>Idaho Plate</t>
  </si>
  <si>
    <t>Tires not included</t>
  </si>
  <si>
    <t>430-178</t>
  </si>
  <si>
    <t>1XPBD49X5MD766050</t>
  </si>
  <si>
    <t>430-179</t>
  </si>
  <si>
    <t>1XPBD49X7MD766051</t>
  </si>
  <si>
    <t>430-181</t>
  </si>
  <si>
    <t>1XPBAP8X6MD766053</t>
  </si>
  <si>
    <t>430-182</t>
  </si>
  <si>
    <t>1XPBAP8X8MD766054</t>
  </si>
  <si>
    <t>430-183</t>
  </si>
  <si>
    <t>1XPBAP8XXMD766055</t>
  </si>
  <si>
    <t>Transferred to Oregon</t>
  </si>
  <si>
    <t>430-184</t>
  </si>
  <si>
    <t>1XPBDP9X2MD771322</t>
  </si>
  <si>
    <t>430-185</t>
  </si>
  <si>
    <t>1XPBDP9X4MD771323</t>
  </si>
  <si>
    <t>430-186</t>
  </si>
  <si>
    <t>1XPBDP9X7ND790076</t>
  </si>
  <si>
    <t>2022</t>
  </si>
  <si>
    <t>430-187</t>
  </si>
  <si>
    <t>1XPBDP9X9ND790077</t>
  </si>
  <si>
    <t>SLEEPER</t>
  </si>
  <si>
    <t>430-188</t>
  </si>
  <si>
    <t>1XPBDP9X0ND790078</t>
  </si>
  <si>
    <t>430-189</t>
  </si>
  <si>
    <t>1XPBDP9X2ND790079</t>
  </si>
  <si>
    <t>430-190</t>
  </si>
  <si>
    <t>Snp Trucking</t>
  </si>
  <si>
    <t>1XPCP49X3PD809042</t>
  </si>
  <si>
    <t>Turned in</t>
  </si>
  <si>
    <t>430-191</t>
  </si>
  <si>
    <t>1XPCP49X5PD809043</t>
  </si>
  <si>
    <t>430-192</t>
  </si>
  <si>
    <t>1XPCP49X4PD809776</t>
  </si>
  <si>
    <t>430-193</t>
  </si>
  <si>
    <t>1XPCP49X6PD809777</t>
  </si>
  <si>
    <t>430-194</t>
  </si>
  <si>
    <t>1XPCP49X8PD809778</t>
  </si>
  <si>
    <t>430-195</t>
  </si>
  <si>
    <t>1XPCP49XXPD809779</t>
  </si>
  <si>
    <t>Totalled</t>
  </si>
  <si>
    <t>430-197</t>
  </si>
  <si>
    <t>Rock Tex</t>
  </si>
  <si>
    <t>1NPCX4EX2SD727215</t>
  </si>
  <si>
    <t>430-198</t>
  </si>
  <si>
    <t>1NPCX4EX4SD727216</t>
  </si>
  <si>
    <t>430-199</t>
  </si>
  <si>
    <t>Broken Rock</t>
  </si>
  <si>
    <t>1NPCX4EX9TD790460</t>
  </si>
  <si>
    <t>October</t>
  </si>
  <si>
    <t>A007896</t>
  </si>
  <si>
    <t>430-200</t>
  </si>
  <si>
    <t>Performix Nutrition</t>
  </si>
  <si>
    <t>1XPBP49X6SD767888</t>
  </si>
  <si>
    <t>4 Axle Day Cab</t>
  </si>
  <si>
    <t>430-201</t>
  </si>
  <si>
    <t>1XPBP49X8SD767889</t>
  </si>
  <si>
    <t>430-202</t>
  </si>
  <si>
    <t>1XPBD49X3SD767890</t>
  </si>
  <si>
    <t xml:space="preserve"> </t>
  </si>
  <si>
    <t>4 Axle Sleeper</t>
  </si>
  <si>
    <t>430-203</t>
  </si>
  <si>
    <t>1XPBD49X5SD767891</t>
  </si>
  <si>
    <t>5 Axle Sleeper</t>
  </si>
  <si>
    <t>430-204</t>
  </si>
  <si>
    <t>FA43484</t>
  </si>
  <si>
    <t>Western States Equipment</t>
  </si>
  <si>
    <t>1XPEP4EX7TD797955</t>
  </si>
  <si>
    <t>430-205</t>
  </si>
  <si>
    <t>FA43485</t>
  </si>
  <si>
    <t>1XPEP4EX9TD797956</t>
  </si>
  <si>
    <t>430-206</t>
  </si>
  <si>
    <t>FA43486</t>
  </si>
  <si>
    <t>1XPEP4EX0TD797957</t>
  </si>
  <si>
    <t>430-207</t>
  </si>
  <si>
    <t>FA43487</t>
  </si>
  <si>
    <t>1XPEP4EX2TD797958</t>
  </si>
  <si>
    <t>430-208</t>
  </si>
  <si>
    <t>FA43488</t>
  </si>
  <si>
    <t>1XPCD49X2TD798103</t>
  </si>
  <si>
    <t>430-209</t>
  </si>
  <si>
    <t>FA43489</t>
  </si>
  <si>
    <t>1XPCD49X4TD798104</t>
  </si>
  <si>
    <t>430-210</t>
  </si>
  <si>
    <t>FA43490</t>
  </si>
  <si>
    <t>1XPCD49X6TD798105</t>
  </si>
  <si>
    <t>430-211</t>
  </si>
  <si>
    <t>1NPCX4EX0TD790461</t>
  </si>
  <si>
    <t>A007894</t>
  </si>
  <si>
    <t>430-212</t>
  </si>
  <si>
    <t>Bar 7</t>
  </si>
  <si>
    <t>1XPEP4EX4VD819705</t>
  </si>
  <si>
    <t>Day Cab Heavy</t>
  </si>
  <si>
    <t>430-213</t>
  </si>
  <si>
    <t>Connel Oil</t>
  </si>
  <si>
    <t>VD825690</t>
  </si>
  <si>
    <t>430-214</t>
  </si>
  <si>
    <t>VD825691</t>
  </si>
  <si>
    <t>430-215</t>
  </si>
  <si>
    <t>VD825689</t>
  </si>
  <si>
    <t>430-216</t>
  </si>
  <si>
    <t>VD825692</t>
  </si>
  <si>
    <t>430-239</t>
  </si>
  <si>
    <t>430-240</t>
  </si>
  <si>
    <t>430-241</t>
  </si>
  <si>
    <t>430-242</t>
  </si>
  <si>
    <t>430-243</t>
  </si>
  <si>
    <t>430-244</t>
  </si>
  <si>
    <t>430-245</t>
  </si>
  <si>
    <t>430-246</t>
  </si>
  <si>
    <t>430-247</t>
  </si>
  <si>
    <t>430-248</t>
  </si>
  <si>
    <t>430-249</t>
  </si>
  <si>
    <t>430-250</t>
  </si>
  <si>
    <t>430-251</t>
  </si>
  <si>
    <t>430-252</t>
  </si>
  <si>
    <t>431-141</t>
  </si>
  <si>
    <t>Idaho Package Company Inc.</t>
  </si>
  <si>
    <t>1XPBDP9XXLD712713</t>
  </si>
  <si>
    <t>P0867</t>
  </si>
  <si>
    <t>431-142</t>
  </si>
  <si>
    <t>1XPBDP9X1LD712714</t>
  </si>
  <si>
    <t>P0110</t>
  </si>
  <si>
    <t>431-143</t>
  </si>
  <si>
    <t>1XPBDP9X3LD712715</t>
  </si>
  <si>
    <t>P1125</t>
  </si>
  <si>
    <t>431-146</t>
  </si>
  <si>
    <t>Magic Valley Quality-milk Transport  LLC</t>
  </si>
  <si>
    <t>1XPBP49X5ND803543</t>
  </si>
  <si>
    <t>431-147</t>
  </si>
  <si>
    <t>1XPBP49X7ND803544</t>
  </si>
  <si>
    <t>431-148</t>
  </si>
  <si>
    <t>1XPBP49X9ND803545</t>
  </si>
  <si>
    <t>431-149</t>
  </si>
  <si>
    <t>1XPBP49X0ND803546</t>
  </si>
  <si>
    <t>431-150</t>
  </si>
  <si>
    <t>1XPBP49X2ND803547</t>
  </si>
  <si>
    <t>431-151</t>
  </si>
  <si>
    <t>1XPBDP9X9PD831911</t>
  </si>
  <si>
    <t>431-152</t>
  </si>
  <si>
    <t>Cp &amp; R Transport  LLC</t>
  </si>
  <si>
    <t>1XPCP49X4RD656450</t>
  </si>
  <si>
    <t>431-153</t>
  </si>
  <si>
    <t>1XPCP49X8RD684977</t>
  </si>
  <si>
    <t>431-154</t>
  </si>
  <si>
    <t>Forage Complete  LLC</t>
  </si>
  <si>
    <t>1XPBDP9X9SD695739</t>
  </si>
  <si>
    <t>431-155</t>
  </si>
  <si>
    <t>1XPBDP9X7SD739673</t>
  </si>
  <si>
    <t>431-156</t>
  </si>
  <si>
    <t xml:space="preserve">Kastle West Distributing Inc. </t>
  </si>
  <si>
    <t>1XPCD49XXRD687372</t>
  </si>
  <si>
    <t>P1180</t>
  </si>
  <si>
    <t>431-157</t>
  </si>
  <si>
    <t>1XPCD49X1RD687373</t>
  </si>
  <si>
    <t>431-158</t>
  </si>
  <si>
    <t>1XPCD49X3RD687374</t>
  </si>
  <si>
    <t>P1478</t>
  </si>
  <si>
    <t>431-159</t>
  </si>
  <si>
    <t>1XPBD49X0RD646714</t>
  </si>
  <si>
    <t>431-160</t>
  </si>
  <si>
    <t>Rigby Produce</t>
  </si>
  <si>
    <t>1XPCP49X4TD803258</t>
  </si>
  <si>
    <t>August</t>
  </si>
  <si>
    <t>431-161</t>
  </si>
  <si>
    <t>1XPCP49X4TD803259</t>
  </si>
  <si>
    <t>431-162</t>
  </si>
  <si>
    <t>1XPCP49X2TD803260</t>
  </si>
  <si>
    <t>Virgin Tires Only, BB difference of recaps</t>
  </si>
  <si>
    <t>431-163</t>
  </si>
  <si>
    <t>1XPCP49X4TD803261</t>
  </si>
  <si>
    <t>431-164</t>
  </si>
  <si>
    <t>1XPCP49X6TD803262</t>
  </si>
  <si>
    <t>431-165</t>
  </si>
  <si>
    <t>1XPCP49X0TD803354</t>
  </si>
  <si>
    <t>432-551</t>
  </si>
  <si>
    <t>Crus Investment  LLC</t>
  </si>
  <si>
    <t>1NPCLP0XXHD434790</t>
  </si>
  <si>
    <t>2017</t>
  </si>
  <si>
    <t>N/A</t>
  </si>
  <si>
    <t>No maintanece contract</t>
  </si>
  <si>
    <t>432-552</t>
  </si>
  <si>
    <t>2NP2HJ8X6HM442409</t>
  </si>
  <si>
    <t>432-582</t>
  </si>
  <si>
    <t>2NP2HJ8X3KM200037</t>
  </si>
  <si>
    <t>2018</t>
  </si>
  <si>
    <t>432-583</t>
  </si>
  <si>
    <t>Charlies Produce</t>
  </si>
  <si>
    <t>3BPPHM6X3KF592503</t>
  </si>
  <si>
    <t>220</t>
  </si>
  <si>
    <t>BP Sept</t>
  </si>
  <si>
    <t>432-584</t>
  </si>
  <si>
    <t>3BPPHM6X5KF592504</t>
  </si>
  <si>
    <t>BP Dec</t>
  </si>
  <si>
    <t>432-585</t>
  </si>
  <si>
    <t>3BPPHM6X7KF592505</t>
  </si>
  <si>
    <t>BP FEB</t>
  </si>
  <si>
    <t>432-591</t>
  </si>
  <si>
    <t>2NP2HJ8XXKM614917</t>
  </si>
  <si>
    <t>432-593</t>
  </si>
  <si>
    <t>El Guapo</t>
  </si>
  <si>
    <t>Consolidated Electrical Distributors Inc.</t>
  </si>
  <si>
    <t>5PVNJ8JV1K4S71687</t>
  </si>
  <si>
    <t>HINO</t>
  </si>
  <si>
    <t>432-597</t>
  </si>
  <si>
    <t>Rocky Mountain Air Solutions</t>
  </si>
  <si>
    <t>1XPBDP9X2LD662907</t>
  </si>
  <si>
    <t>Taduim</t>
  </si>
  <si>
    <t>Virgin Tires</t>
  </si>
  <si>
    <t>P0023</t>
  </si>
  <si>
    <t>Used Trucks</t>
  </si>
  <si>
    <t>432-598</t>
  </si>
  <si>
    <t>1XPBDP9X4LD662908</t>
  </si>
  <si>
    <t>P1214</t>
  </si>
  <si>
    <t>432-599</t>
  </si>
  <si>
    <t>Enviro Care Inc.</t>
  </si>
  <si>
    <t>1XPBDP9X5LD665042</t>
  </si>
  <si>
    <t>432-600</t>
  </si>
  <si>
    <t>1XPBDP9X7LD665043</t>
  </si>
  <si>
    <t>P0977</t>
  </si>
  <si>
    <t>Got transferred to Wilsonville?</t>
  </si>
  <si>
    <t>432-606</t>
  </si>
  <si>
    <t>Rona</t>
  </si>
  <si>
    <t>JHHUDM1H1KK003933</t>
  </si>
  <si>
    <t>FA141</t>
  </si>
  <si>
    <t>432-612</t>
  </si>
  <si>
    <t>5PVNJ8JV9K4S71422</t>
  </si>
  <si>
    <t>BP July</t>
  </si>
  <si>
    <t>432-616</t>
  </si>
  <si>
    <t>1NPCLP0X6LD638656</t>
  </si>
  <si>
    <t>432-617</t>
  </si>
  <si>
    <t>Rocky Mountain Pies  LLC</t>
  </si>
  <si>
    <t>2NP2HM6XXLM708995</t>
  </si>
  <si>
    <t>BP AUG</t>
  </si>
  <si>
    <t>Box</t>
  </si>
  <si>
    <t>432-618</t>
  </si>
  <si>
    <t>Asael Farr &amp; Sons Company</t>
  </si>
  <si>
    <t>2NP2HM7X2LM703143</t>
  </si>
  <si>
    <t>?</t>
  </si>
  <si>
    <t>432-619</t>
  </si>
  <si>
    <t>Purple Innovation  LLC</t>
  </si>
  <si>
    <t>1XPBDP9X4LD714778</t>
  </si>
  <si>
    <t>Taduim Day Cab</t>
  </si>
  <si>
    <t>432-620</t>
  </si>
  <si>
    <t>Midwest Floor Coverings Inc.</t>
  </si>
  <si>
    <t>1XPBDP9X7LD714435</t>
  </si>
  <si>
    <t>432-621</t>
  </si>
  <si>
    <t>1XPBDP9X9LD714436</t>
  </si>
  <si>
    <t>432-623</t>
  </si>
  <si>
    <t>Basin Western Inc - Lease Only</t>
  </si>
  <si>
    <t>1NPCLP9X2LD723187</t>
  </si>
  <si>
    <t>432-628</t>
  </si>
  <si>
    <t>Iman Transport  LLC</t>
  </si>
  <si>
    <t>1XPBD49XXLD660885</t>
  </si>
  <si>
    <t>432-630</t>
  </si>
  <si>
    <t>Professional Flooring Supply</t>
  </si>
  <si>
    <t>2NP2HM6X1MM751302</t>
  </si>
  <si>
    <t>432-631</t>
  </si>
  <si>
    <t>2NP2HJ8X7MM756046</t>
  </si>
  <si>
    <t>Yes Maintenance Contract</t>
  </si>
  <si>
    <t>432-632</t>
  </si>
  <si>
    <t>Flexpak Inc.</t>
  </si>
  <si>
    <t>1XPBDP9X8MD760888</t>
  </si>
  <si>
    <t>U34 8FS</t>
  </si>
  <si>
    <t>432-643</t>
  </si>
  <si>
    <t>1XPCD49X4ND777532</t>
  </si>
  <si>
    <t>432-644</t>
  </si>
  <si>
    <t>1XPCD49X2ND777531</t>
  </si>
  <si>
    <t>432-645</t>
  </si>
  <si>
    <t>1XPBD49X1ND777533</t>
  </si>
  <si>
    <t>432-647</t>
  </si>
  <si>
    <t>Modern Display Services Inc.</t>
  </si>
  <si>
    <t>2NPKHM6X0NM778296</t>
  </si>
  <si>
    <t>432-648</t>
  </si>
  <si>
    <t>1XPCD49XXND777194</t>
  </si>
  <si>
    <t>432-650</t>
  </si>
  <si>
    <t>1XPCD49X1ND777195</t>
  </si>
  <si>
    <t>432-651</t>
  </si>
  <si>
    <t>1XPCP40X4ND791628</t>
  </si>
  <si>
    <t>432-652</t>
  </si>
  <si>
    <t>Ws Anytime Rentals  LLC</t>
  </si>
  <si>
    <t>1XPCP40X0ND796115</t>
  </si>
  <si>
    <t>P1251</t>
  </si>
  <si>
    <t>432-653</t>
  </si>
  <si>
    <t>Amc Usa  LLC</t>
  </si>
  <si>
    <t>1NPCXPEX6ND776570</t>
  </si>
  <si>
    <t>NO</t>
  </si>
  <si>
    <t>Off covered maintenance 3/16/2026</t>
  </si>
  <si>
    <t>432-662</t>
  </si>
  <si>
    <t>Griffith Industries Inc.</t>
  </si>
  <si>
    <t>1XPBDP9X4PD821223</t>
  </si>
  <si>
    <t>432-667</t>
  </si>
  <si>
    <t>2NP2HM6X8NM785237</t>
  </si>
  <si>
    <t>432-668</t>
  </si>
  <si>
    <t>1XPBDP9X0PD890653</t>
  </si>
  <si>
    <t>432-669</t>
  </si>
  <si>
    <t>1XPBDP9X2PD890654</t>
  </si>
  <si>
    <t>432-670</t>
  </si>
  <si>
    <t>1XPBDP9X7PD893307</t>
  </si>
  <si>
    <t>432-671</t>
  </si>
  <si>
    <t>1XPBDP9X9PD893308</t>
  </si>
  <si>
    <t>432-672</t>
  </si>
  <si>
    <t>1XPCD49X6RD893773</t>
  </si>
  <si>
    <t>432-673</t>
  </si>
  <si>
    <t>1XPCD49X1RD893972</t>
  </si>
  <si>
    <t>432-674</t>
  </si>
  <si>
    <t>1XPCD49X7PD893973</t>
  </si>
  <si>
    <t>432-678</t>
  </si>
  <si>
    <t>1XPBDP9XXPD822750</t>
  </si>
  <si>
    <t>432-679</t>
  </si>
  <si>
    <t>1XPBDP9X1PD822751</t>
  </si>
  <si>
    <t>432-680</t>
  </si>
  <si>
    <t>1XPCP40X0ND796583</t>
  </si>
  <si>
    <t>432-681</t>
  </si>
  <si>
    <t>Acf West Inc-nw Geosynthetics Inc.</t>
  </si>
  <si>
    <t>2NPKHM6X1PM868852</t>
  </si>
  <si>
    <t>BP Jan</t>
  </si>
  <si>
    <t>Flat bed</t>
  </si>
  <si>
    <t>432-682</t>
  </si>
  <si>
    <t>2NPKHM6X9PM838093</t>
  </si>
  <si>
    <t>432-683</t>
  </si>
  <si>
    <t>36NS</t>
  </si>
  <si>
    <t>Utility Trailer Sales Of Utah</t>
  </si>
  <si>
    <t>2XP2AJ7X6PM835983</t>
  </si>
  <si>
    <t>BP</t>
  </si>
  <si>
    <t>432-684</t>
  </si>
  <si>
    <t>1XPCP40XXPD836493</t>
  </si>
  <si>
    <t>432-685</t>
  </si>
  <si>
    <t>1XPCD49X7PD836494</t>
  </si>
  <si>
    <t>432-686</t>
  </si>
  <si>
    <t>1XPCD49X9PD836495</t>
  </si>
  <si>
    <t>Totaled</t>
  </si>
  <si>
    <t>432-687</t>
  </si>
  <si>
    <t>1XPCD49X0PD836496</t>
  </si>
  <si>
    <t>432-688</t>
  </si>
  <si>
    <t>1XPCD49X1PD835308</t>
  </si>
  <si>
    <t>Maintenance not covered</t>
  </si>
  <si>
    <t>432-689</t>
  </si>
  <si>
    <t>2NP2HM6X5PM854484</t>
  </si>
  <si>
    <t>432-690</t>
  </si>
  <si>
    <t>Rock Canyon Oil  LLC</t>
  </si>
  <si>
    <t>1XNPCX4EX6ND81913</t>
  </si>
  <si>
    <t>432-691</t>
  </si>
  <si>
    <t>The Other Side Movers  LLC</t>
  </si>
  <si>
    <t>2NPKHM6X9PM866413</t>
  </si>
  <si>
    <t>BP Aug</t>
  </si>
  <si>
    <t>432-700</t>
  </si>
  <si>
    <t>1XPXP40X1PD890492</t>
  </si>
  <si>
    <t>432-701</t>
  </si>
  <si>
    <t>Brown Strauss Steel</t>
  </si>
  <si>
    <t>1XPBPP0X3PD868876</t>
  </si>
  <si>
    <t>P0834</t>
  </si>
  <si>
    <t>YES</t>
  </si>
  <si>
    <t>432-702</t>
  </si>
  <si>
    <t>1XPBPP0X5PD868877</t>
  </si>
  <si>
    <t>P1032</t>
  </si>
  <si>
    <t>432-703</t>
  </si>
  <si>
    <t>1NPCXPEX6PD877093</t>
  </si>
  <si>
    <t>432-704</t>
  </si>
  <si>
    <t>1XPXP40X6PD888382</t>
  </si>
  <si>
    <t>432-705</t>
  </si>
  <si>
    <t>1XPBPP0X1PD868875</t>
  </si>
  <si>
    <t>P0170</t>
  </si>
  <si>
    <t>432-706</t>
  </si>
  <si>
    <t>Liberty Tire Services Of Ohio  LLC</t>
  </si>
  <si>
    <t>1XPCDP9X6PD890323</t>
  </si>
  <si>
    <t>No tires</t>
  </si>
  <si>
    <t>432-707</t>
  </si>
  <si>
    <t>1XPCDP9X9PD892163</t>
  </si>
  <si>
    <t>432-708</t>
  </si>
  <si>
    <t>1XPCDP9X8PD890324</t>
  </si>
  <si>
    <t>432-709</t>
  </si>
  <si>
    <t>Brahma Group Inc.</t>
  </si>
  <si>
    <t>1XPCDP9X6PD646820</t>
  </si>
  <si>
    <t>432-710</t>
  </si>
  <si>
    <t>2NPMHM7X1RM647665</t>
  </si>
  <si>
    <t>432-711</t>
  </si>
  <si>
    <t>Mrg Industries Inc Dba How Rental And Sales</t>
  </si>
  <si>
    <t>1XPCDP9X5PD890720</t>
  </si>
  <si>
    <t>432-712</t>
  </si>
  <si>
    <t>1XPCP40X0PD868854</t>
  </si>
  <si>
    <t>432-713</t>
  </si>
  <si>
    <t>2NPKHM6X5PM879501</t>
  </si>
  <si>
    <t>BP January</t>
  </si>
  <si>
    <t>432-714</t>
  </si>
  <si>
    <t>1NPCL40X4PD873089</t>
  </si>
  <si>
    <t>customer</t>
  </si>
  <si>
    <t>432-715</t>
  </si>
  <si>
    <t>1XPCDP9X8RD877222</t>
  </si>
  <si>
    <t>432-716</t>
  </si>
  <si>
    <t>1XPCDP9XXRD877223</t>
  </si>
  <si>
    <t xml:space="preserve"> June</t>
  </si>
  <si>
    <t>432-717</t>
  </si>
  <si>
    <t>2NPKHM6X7RM893306</t>
  </si>
  <si>
    <t>BP June</t>
  </si>
  <si>
    <t>432-718</t>
  </si>
  <si>
    <t>2NPKHM6X0RM885595</t>
  </si>
  <si>
    <t>432-719</t>
  </si>
  <si>
    <t>2NPKHM6X2RM885596</t>
  </si>
  <si>
    <t>Captive sub for Model linen</t>
  </si>
  <si>
    <t>432-720</t>
  </si>
  <si>
    <t>1XPCDP9X8RD647664</t>
  </si>
  <si>
    <t>432-721</t>
  </si>
  <si>
    <t>Dyno Nobel Inc.</t>
  </si>
  <si>
    <t>1XPBD49X5RD685363</t>
  </si>
  <si>
    <t>432-722</t>
  </si>
  <si>
    <t>1XPBD49X7RD685364</t>
  </si>
  <si>
    <t>432-723</t>
  </si>
  <si>
    <t>1XPBD49X1RD685425</t>
  </si>
  <si>
    <t>432-724</t>
  </si>
  <si>
    <t>1XPBD49X3RD685426</t>
  </si>
  <si>
    <t>432-725</t>
  </si>
  <si>
    <t>1XPCD49X2RD681887</t>
  </si>
  <si>
    <t>432-726</t>
  </si>
  <si>
    <t>1XPCD49X4RD681888</t>
  </si>
  <si>
    <t>432-727</t>
  </si>
  <si>
    <t>1XPCD49X6RD681889</t>
  </si>
  <si>
    <t>432-728</t>
  </si>
  <si>
    <t>2NPKHM6X4RM684119</t>
  </si>
  <si>
    <t>T758PF</t>
  </si>
  <si>
    <t>432-729</t>
  </si>
  <si>
    <t>1XPCDP9XXRD674526</t>
  </si>
  <si>
    <t>432-730</t>
  </si>
  <si>
    <t>Wasatch Tank Lines  LLC</t>
  </si>
  <si>
    <t>1XPBD49X3RD686401</t>
  </si>
  <si>
    <t>Virgin Tires Only</t>
  </si>
  <si>
    <t>P1155</t>
  </si>
  <si>
    <t>432-731</t>
  </si>
  <si>
    <t>1XPBD49X5RD686402</t>
  </si>
  <si>
    <t>P1156</t>
  </si>
  <si>
    <t>432-732</t>
  </si>
  <si>
    <t>2NPKHM6X4RM885597</t>
  </si>
  <si>
    <t>432-733</t>
  </si>
  <si>
    <t>Brinks Global Services Usa-accounts Payable</t>
  </si>
  <si>
    <t>1XPBDP9X4RD600031</t>
  </si>
  <si>
    <t>432-734</t>
  </si>
  <si>
    <t>1XPBDP9X6RD600032</t>
  </si>
  <si>
    <t>432-735</t>
  </si>
  <si>
    <t>1XPBDP9X8RD600033</t>
  </si>
  <si>
    <t>432-736</t>
  </si>
  <si>
    <t>1XPBDP9XXRD600034</t>
  </si>
  <si>
    <t>432-737</t>
  </si>
  <si>
    <t>1XPBDP9X1RD600035</t>
  </si>
  <si>
    <t>432-738</t>
  </si>
  <si>
    <t>1XPBD49X5RD685248</t>
  </si>
  <si>
    <t>432-739</t>
  </si>
  <si>
    <t>1XPBD49X7RD685249</t>
  </si>
  <si>
    <t>432-740</t>
  </si>
  <si>
    <t>Kosta Inc.</t>
  </si>
  <si>
    <t>1NPEP40X5SD700770</t>
  </si>
  <si>
    <t>587</t>
  </si>
  <si>
    <t>432-741</t>
  </si>
  <si>
    <t>2NP8LJ9X7SM716604</t>
  </si>
  <si>
    <t>432-742</t>
  </si>
  <si>
    <t>1XPCP40X2RD685250</t>
  </si>
  <si>
    <t>432-743</t>
  </si>
  <si>
    <t>1XPCP40X4RD685251</t>
  </si>
  <si>
    <t>432-744</t>
  </si>
  <si>
    <t>Brody Chemical Company Inc.</t>
  </si>
  <si>
    <t>2NP8LJ9X6RM690376</t>
  </si>
  <si>
    <t>432-745</t>
  </si>
  <si>
    <t>Chemstation of Utah</t>
  </si>
  <si>
    <t>1NPCLP0X1SD722656</t>
  </si>
  <si>
    <t>432-746</t>
  </si>
  <si>
    <t>Streamline Transportation</t>
  </si>
  <si>
    <t>1XPBD49X5SD723762</t>
  </si>
  <si>
    <t>P0335</t>
  </si>
  <si>
    <t>432-747</t>
  </si>
  <si>
    <t>1XPBDP9X9RD690440</t>
  </si>
  <si>
    <t>432-748</t>
  </si>
  <si>
    <t>1XPBD49X6SD727660</t>
  </si>
  <si>
    <t>432-749</t>
  </si>
  <si>
    <t>Carrier TransCold</t>
  </si>
  <si>
    <t>2XP8AJ8X7SM728667</t>
  </si>
  <si>
    <t>P0346</t>
  </si>
  <si>
    <t>432-750</t>
  </si>
  <si>
    <t>2XP8AJ8X1SM727661</t>
  </si>
  <si>
    <t>BP Oct</t>
  </si>
  <si>
    <t>432-751</t>
  </si>
  <si>
    <t>1XPCP40X8SD735980</t>
  </si>
  <si>
    <t>432-752</t>
  </si>
  <si>
    <t>1XPCP40XXSD735981</t>
  </si>
  <si>
    <t>432-753</t>
  </si>
  <si>
    <t>1XPCD49X2SD736487</t>
  </si>
  <si>
    <t>432-754</t>
  </si>
  <si>
    <t>1XPCD49X4SD736488</t>
  </si>
  <si>
    <t>432-755</t>
  </si>
  <si>
    <t>1XPCD49X9SD736485</t>
  </si>
  <si>
    <t>432-756</t>
  </si>
  <si>
    <t>1XPCP40X3SD739337</t>
  </si>
  <si>
    <t>432-757</t>
  </si>
  <si>
    <t>1XPBDP9X8SD743649</t>
  </si>
  <si>
    <t>432-758</t>
  </si>
  <si>
    <t>1XPBDP9X6SD743648</t>
  </si>
  <si>
    <t>432-759</t>
  </si>
  <si>
    <t>1NPCL40XXRD673854</t>
  </si>
  <si>
    <t>432-760</t>
  </si>
  <si>
    <t>DP Nicoli</t>
  </si>
  <si>
    <t>1NPCXPEX9SD749522</t>
  </si>
  <si>
    <t>432-761</t>
  </si>
  <si>
    <t>1NPCXPEX0SD749523</t>
  </si>
  <si>
    <t>432-762</t>
  </si>
  <si>
    <t>1NPCX4EX8SD755455</t>
  </si>
  <si>
    <t>432-762 transferred to Paccar to another leasing company per Sara</t>
  </si>
  <si>
    <t>432-763</t>
  </si>
  <si>
    <t>1NPCX4EXXSD755456</t>
  </si>
  <si>
    <t>432-764</t>
  </si>
  <si>
    <t>2NP8LJ9X6SM752574</t>
  </si>
  <si>
    <t>BP September</t>
  </si>
  <si>
    <t>432-765</t>
  </si>
  <si>
    <t>1XPBDP9X1SD756887</t>
  </si>
  <si>
    <t>432-766</t>
  </si>
  <si>
    <t>1NPCXPEX9SD756003</t>
  </si>
  <si>
    <t>432-767</t>
  </si>
  <si>
    <t>1NPCXPEX0SD756004</t>
  </si>
  <si>
    <t>432-768</t>
  </si>
  <si>
    <t>Sparky</t>
  </si>
  <si>
    <t>2NPKHM6X0SM757153</t>
  </si>
  <si>
    <t>BP Nov</t>
  </si>
  <si>
    <t>432-769</t>
  </si>
  <si>
    <t>1XPCDP9X8SD757524</t>
  </si>
  <si>
    <t>432-770</t>
  </si>
  <si>
    <t>1XPCDP9X3SD757611</t>
  </si>
  <si>
    <t>432-771</t>
  </si>
  <si>
    <t>1XPCDP9X5SD757612</t>
  </si>
  <si>
    <t>432-772</t>
  </si>
  <si>
    <t>1XPCDP9X7SD757613</t>
  </si>
  <si>
    <t>432-773</t>
  </si>
  <si>
    <t>American Welding &amp; Gas Inc.</t>
  </si>
  <si>
    <t>1XPCDP9X9SD757614</t>
  </si>
  <si>
    <t>Idaho</t>
  </si>
  <si>
    <t>432-774</t>
  </si>
  <si>
    <t>Lefavor Envelope Co</t>
  </si>
  <si>
    <t>2NPKHM6X9SM757880</t>
  </si>
  <si>
    <t>432-775</t>
  </si>
  <si>
    <t>1XPCP40XXSD758838</t>
  </si>
  <si>
    <t xml:space="preserve">4 Axle </t>
  </si>
  <si>
    <t>432-776</t>
  </si>
  <si>
    <t>1XPCD49XXSD758835</t>
  </si>
  <si>
    <t>3 Axle</t>
  </si>
  <si>
    <t>432-777</t>
  </si>
  <si>
    <t>1XPCP40X7SD758408</t>
  </si>
  <si>
    <t>4 Axle</t>
  </si>
  <si>
    <t>432-778</t>
  </si>
  <si>
    <t>2NP8HJ8X7SM705573</t>
  </si>
  <si>
    <t>432-779</t>
  </si>
  <si>
    <t>1XPCP40X1SD764480</t>
  </si>
  <si>
    <t>4 axle</t>
  </si>
  <si>
    <t>432-780</t>
  </si>
  <si>
    <t>IC Security Printers</t>
  </si>
  <si>
    <t>2NPKHM6X0TM772687</t>
  </si>
  <si>
    <t>BP March</t>
  </si>
  <si>
    <t>Box Truck</t>
  </si>
  <si>
    <t>432-781</t>
  </si>
  <si>
    <t>Bolt</t>
  </si>
  <si>
    <t>2NPKHM6X6TM779322</t>
  </si>
  <si>
    <t>P0514</t>
  </si>
  <si>
    <t>432-782</t>
  </si>
  <si>
    <t>1XPCP40X3TD788412</t>
  </si>
  <si>
    <t>432-783</t>
  </si>
  <si>
    <t>1XPCP40X5TD788413</t>
  </si>
  <si>
    <t>432-784</t>
  </si>
  <si>
    <t>1XPCP40XXTD790092</t>
  </si>
  <si>
    <t>432-785</t>
  </si>
  <si>
    <t xml:space="preserve">1NPCLP0X6RD671178 </t>
  </si>
  <si>
    <t>432-786</t>
  </si>
  <si>
    <t>RSL Transport</t>
  </si>
  <si>
    <t>1XPBD49X8TD792852</t>
  </si>
  <si>
    <t>432-787</t>
  </si>
  <si>
    <t>1XPBD49XXTD792853</t>
  </si>
  <si>
    <t>432-788</t>
  </si>
  <si>
    <t>1XPBD49X1TD792854</t>
  </si>
  <si>
    <t>432-789</t>
  </si>
  <si>
    <t>1XPBD49X3TD792855</t>
  </si>
  <si>
    <t>432-790</t>
  </si>
  <si>
    <t>1XPBD49X5TD792856</t>
  </si>
  <si>
    <t>432-791</t>
  </si>
  <si>
    <t>1XPBD49X7TD792857</t>
  </si>
  <si>
    <t>432-792</t>
  </si>
  <si>
    <t>1XPBD49X9TD792858</t>
  </si>
  <si>
    <t>432-793</t>
  </si>
  <si>
    <t>1XPBD49X0TD792859</t>
  </si>
  <si>
    <t>432-794</t>
  </si>
  <si>
    <t>1XPCP40X2TD792998</t>
  </si>
  <si>
    <t>432-795</t>
  </si>
  <si>
    <t>1XPCP40X4TD792999</t>
  </si>
  <si>
    <t>432-796</t>
  </si>
  <si>
    <t>1XPCP40X8TD795596</t>
  </si>
  <si>
    <t>432-797</t>
  </si>
  <si>
    <t>1XPCP40XXTD795597</t>
  </si>
  <si>
    <t>432-798</t>
  </si>
  <si>
    <t>1XPCP40X3TD796767</t>
  </si>
  <si>
    <t>432-799</t>
  </si>
  <si>
    <t>1XPCP40X5TD796768</t>
  </si>
  <si>
    <t>432-800</t>
  </si>
  <si>
    <t>Bubbles</t>
  </si>
  <si>
    <t>2NPKHM6X1TM798554</t>
  </si>
  <si>
    <t>September</t>
  </si>
  <si>
    <t>432-801</t>
  </si>
  <si>
    <t>Buttercup</t>
  </si>
  <si>
    <t>2NPKHM6X1TM799686</t>
  </si>
  <si>
    <t>432-802</t>
  </si>
  <si>
    <t>1XPCDP9X0TD800383</t>
  </si>
  <si>
    <t>November</t>
  </si>
  <si>
    <t>Z006583</t>
  </si>
  <si>
    <t>3 axle</t>
  </si>
  <si>
    <t>432-803</t>
  </si>
  <si>
    <t>1XPCDP9X2TD800384</t>
  </si>
  <si>
    <t>Z006582</t>
  </si>
  <si>
    <t>432-804</t>
  </si>
  <si>
    <t>1XPED49X4TD801009</t>
  </si>
  <si>
    <t>432-805</t>
  </si>
  <si>
    <t>2NP8HJ8X9SM744116</t>
  </si>
  <si>
    <t>432-806</t>
  </si>
  <si>
    <t>Valmont Industries</t>
  </si>
  <si>
    <t>1XPCD49XXTD805718</t>
  </si>
  <si>
    <t>Z006635</t>
  </si>
  <si>
    <t>432-807</t>
  </si>
  <si>
    <t>1XPCP40X5TD807915</t>
  </si>
  <si>
    <t>Z006568</t>
  </si>
  <si>
    <t>432-808</t>
  </si>
  <si>
    <t>1XPCP40X7TD807916</t>
  </si>
  <si>
    <t>Z006566</t>
  </si>
  <si>
    <t>432-809</t>
  </si>
  <si>
    <t>1XPCP40X9TD807917</t>
  </si>
  <si>
    <t>432-810</t>
  </si>
  <si>
    <t>1XPCP40X0TD807918</t>
  </si>
  <si>
    <t>Z006610</t>
  </si>
  <si>
    <t>432-811</t>
  </si>
  <si>
    <t>1XPCP40X2TD807919</t>
  </si>
  <si>
    <t>Z006611</t>
  </si>
  <si>
    <t>432-812</t>
  </si>
  <si>
    <t>1XPBDP9X1TD815955</t>
  </si>
  <si>
    <t>432-813</t>
  </si>
  <si>
    <t>Basin Western</t>
  </si>
  <si>
    <t>1XPCP40X9VD817849</t>
  </si>
  <si>
    <t>432-814</t>
  </si>
  <si>
    <t>1XPCP40X5VD817850</t>
  </si>
  <si>
    <t>432-815</t>
  </si>
  <si>
    <t>1NPKHM6X0VD821377</t>
  </si>
  <si>
    <t>Reefer</t>
  </si>
  <si>
    <t>432-817</t>
  </si>
  <si>
    <t>1NPCX4EXXVD828670</t>
  </si>
  <si>
    <t>432-821</t>
  </si>
  <si>
    <t>CED</t>
  </si>
  <si>
    <t>2 Axle</t>
  </si>
  <si>
    <t>511-117</t>
  </si>
  <si>
    <t>Golden Gate Petroleum</t>
  </si>
  <si>
    <t>1XPCDP9X2ND823408</t>
  </si>
  <si>
    <t>511-118</t>
  </si>
  <si>
    <t>Star Transport, LLC</t>
  </si>
  <si>
    <t>1XPCDP9X1PD893954</t>
  </si>
  <si>
    <t>P0731</t>
  </si>
  <si>
    <t>511-120</t>
  </si>
  <si>
    <t>1XPCDP9X1RD614117</t>
  </si>
  <si>
    <t>511-121</t>
  </si>
  <si>
    <t>1XPCDP9X3RD614118</t>
  </si>
  <si>
    <t>511-122</t>
  </si>
  <si>
    <t>1XPCDP9X5RD614119</t>
  </si>
  <si>
    <t>511-123</t>
  </si>
  <si>
    <t>1XPCDP9X0SD757355</t>
  </si>
  <si>
    <t>511-124</t>
  </si>
  <si>
    <t>American Track</t>
  </si>
  <si>
    <t>1XPCP4EX2TD802437</t>
  </si>
  <si>
    <t>511-125</t>
  </si>
  <si>
    <t>Pivot Petro</t>
  </si>
  <si>
    <t>1XPCP40X2TD810707</t>
  </si>
  <si>
    <t>511-126</t>
  </si>
  <si>
    <t>Black Hills Lignite</t>
  </si>
  <si>
    <t>1XPCD49X2TD815868</t>
  </si>
  <si>
    <t>January</t>
  </si>
  <si>
    <t>511-127</t>
  </si>
  <si>
    <t>Transpro</t>
  </si>
  <si>
    <t>1NPEX4EX2VD834939</t>
  </si>
  <si>
    <t>511-128</t>
  </si>
  <si>
    <t>1NPEX4EX9VD834940</t>
  </si>
  <si>
    <t>511-129</t>
  </si>
  <si>
    <t>1NPEX4EX0VD834941</t>
  </si>
  <si>
    <t>511-130</t>
  </si>
  <si>
    <t>1NPEX4EX2VD834942</t>
  </si>
  <si>
    <t>511-131</t>
  </si>
  <si>
    <t>1NPEX4EX4VD834943</t>
  </si>
  <si>
    <t>511-132</t>
  </si>
  <si>
    <t>1NPEX4EX6VD834944</t>
  </si>
  <si>
    <t>511-133</t>
  </si>
  <si>
    <t>1NPEX4EX8VD834945</t>
  </si>
  <si>
    <t>511-134</t>
  </si>
  <si>
    <t>1NPEX4EXXVD834946</t>
  </si>
  <si>
    <t>511-135</t>
  </si>
  <si>
    <t>1NPEX4EX1VD834947</t>
  </si>
  <si>
    <t>511-136</t>
  </si>
  <si>
    <t>1NPEX4EX3VD834948</t>
  </si>
  <si>
    <t>511-137</t>
  </si>
  <si>
    <r>
      <t> </t>
    </r>
    <r>
      <rPr>
        <sz val="10"/>
        <color rgb="FF000000"/>
        <rFont val="Verdana"/>
        <family val="2"/>
      </rPr>
      <t>1XPEP4EX8VD834949</t>
    </r>
  </si>
  <si>
    <t>511-138</t>
  </si>
  <si>
    <t>1XPEP4EX4VD834950</t>
  </si>
  <si>
    <t>511-139</t>
  </si>
  <si>
    <t>1XPEP4EX6VD834951</t>
  </si>
  <si>
    <t>511-140</t>
  </si>
  <si>
    <t>1XPEP4EX8VD834952</t>
  </si>
  <si>
    <t>511-141</t>
  </si>
  <si>
    <t>1XPEP4EXXVD834953</t>
  </si>
  <si>
    <t>511-142</t>
  </si>
  <si>
    <t>1XPEP4EX7VD834747</t>
  </si>
  <si>
    <t>511-143</t>
  </si>
  <si>
    <t>1XPEP4EX9VD834748</t>
  </si>
  <si>
    <t>511-144</t>
  </si>
  <si>
    <t>1XPEP4EX0VD834749</t>
  </si>
  <si>
    <t>511-145</t>
  </si>
  <si>
    <t>1XPEP4EX7VD834750</t>
  </si>
  <si>
    <t>511-146</t>
  </si>
  <si>
    <t>1XPEP4EX9VD834751</t>
  </si>
  <si>
    <t>511-147</t>
  </si>
  <si>
    <t>Freedom Fuels</t>
  </si>
  <si>
    <t>511-148</t>
  </si>
  <si>
    <t>511-149</t>
  </si>
  <si>
    <t>645-104</t>
  </si>
  <si>
    <t>Stericycle - Hcs</t>
  </si>
  <si>
    <t>1NPBHP7X1HD414205</t>
  </si>
  <si>
    <t>P0840</t>
  </si>
  <si>
    <t>645-107</t>
  </si>
  <si>
    <t>1XPCDP9X5LD712297</t>
  </si>
  <si>
    <t>Basin purchased truck</t>
  </si>
  <si>
    <t>645-108</t>
  </si>
  <si>
    <t>2NP8LJ9X8PM824849</t>
  </si>
  <si>
    <t>645-109</t>
  </si>
  <si>
    <t>2NP8LJ9X4PM824850</t>
  </si>
  <si>
    <t>645-110</t>
  </si>
  <si>
    <t>2NP8LJ9X6PM824851</t>
  </si>
  <si>
    <t>645-111</t>
  </si>
  <si>
    <t>2NP8LJ9X8PM824852</t>
  </si>
  <si>
    <t>377</t>
  </si>
  <si>
    <t>645-112</t>
  </si>
  <si>
    <t>1XPBDP9X5ND829067</t>
  </si>
  <si>
    <t>645-113</t>
  </si>
  <si>
    <t>Spirit Transportation  LLC</t>
  </si>
  <si>
    <t>1XPXP49X0ND807750</t>
  </si>
  <si>
    <t>G156</t>
  </si>
  <si>
    <t>645-114</t>
  </si>
  <si>
    <t>1XPBDP9X4PD838619</t>
  </si>
  <si>
    <t>645-115</t>
  </si>
  <si>
    <t>2NPKHM6X5PM893124</t>
  </si>
  <si>
    <t>645-116</t>
  </si>
  <si>
    <t>2NPMHJ7X3RM685168</t>
  </si>
  <si>
    <t>645-117</t>
  </si>
  <si>
    <t>2NPMHJ7X5RM685169</t>
  </si>
  <si>
    <t>645-118</t>
  </si>
  <si>
    <t>2NPMHJ7XXRM685166</t>
  </si>
  <si>
    <t>645-119</t>
  </si>
  <si>
    <t>2NPMHJ7X1RM685167</t>
  </si>
  <si>
    <t>645-120</t>
  </si>
  <si>
    <t>Yellowstone River Equipment LLC:</t>
  </si>
  <si>
    <t>1XPBD49X8RD647240</t>
  </si>
  <si>
    <t>P1455</t>
  </si>
  <si>
    <t>645-121</t>
  </si>
  <si>
    <t>1XPBD49X5RD600344</t>
  </si>
  <si>
    <t>P0073</t>
  </si>
  <si>
    <t>645-122</t>
  </si>
  <si>
    <t>1XPBDP9X7RD600332</t>
  </si>
  <si>
    <t>P1266</t>
  </si>
  <si>
    <t>645-123</t>
  </si>
  <si>
    <t>1XPBD49X8RD899991</t>
  </si>
  <si>
    <t>P0875</t>
  </si>
  <si>
    <t>645-124</t>
  </si>
  <si>
    <t>1XPCD49X3SD682634</t>
  </si>
  <si>
    <t>P0986</t>
  </si>
  <si>
    <t>645-125</t>
  </si>
  <si>
    <t>1XPCD49X5SD682635</t>
  </si>
  <si>
    <t>P0903</t>
  </si>
  <si>
    <t>645-126</t>
  </si>
  <si>
    <t>1XPCP49X2SD756181</t>
  </si>
  <si>
    <t>645-127</t>
  </si>
  <si>
    <t>Pacific Metal</t>
  </si>
  <si>
    <t>1XPCD49X3SD763245</t>
  </si>
  <si>
    <t>645-128</t>
  </si>
  <si>
    <t>Sound Pruning LLC</t>
  </si>
  <si>
    <t>JALE5W163S7P00102</t>
  </si>
  <si>
    <t>Isuzu</t>
  </si>
  <si>
    <t>645-129</t>
  </si>
  <si>
    <t>Rental Montana Misoula</t>
  </si>
  <si>
    <t>1XPBDP9X3TD792713</t>
  </si>
  <si>
    <t>645-130</t>
  </si>
  <si>
    <t>M &amp; E</t>
  </si>
  <si>
    <t>1XPBDP9X8SD761679</t>
  </si>
  <si>
    <t>645-131</t>
  </si>
  <si>
    <t>1XPBDP9X4SD761680</t>
  </si>
  <si>
    <t>645-132</t>
  </si>
  <si>
    <t>Rental Montana Missoula</t>
  </si>
  <si>
    <t>1XPBDP9X5TD792714</t>
  </si>
  <si>
    <t>645-133</t>
  </si>
  <si>
    <t>Rental Montana Billings</t>
  </si>
  <si>
    <t>1XPBDP9X7TD792715</t>
  </si>
  <si>
    <t>Greg</t>
  </si>
  <si>
    <t>645-134</t>
  </si>
  <si>
    <t>JALE5W169S7P04509</t>
  </si>
  <si>
    <t>645-135</t>
  </si>
  <si>
    <t>G4 Tank Lines</t>
  </si>
  <si>
    <t>1XPCP40X6TD787822</t>
  </si>
  <si>
    <t>645-136</t>
  </si>
  <si>
    <t>1XPCP40X9TD805844</t>
  </si>
  <si>
    <t>Z005640</t>
  </si>
  <si>
    <t>645-137</t>
  </si>
  <si>
    <t>1XPCP40X0TD805845</t>
  </si>
  <si>
    <t>645-138</t>
  </si>
  <si>
    <t>2NPKHM6X5TM805781</t>
  </si>
  <si>
    <t>645-140</t>
  </si>
  <si>
    <t>1XPCD49X7TD808964</t>
  </si>
  <si>
    <t>645-141</t>
  </si>
  <si>
    <t>1XPCD49X9TD808965</t>
  </si>
  <si>
    <t>645-142</t>
  </si>
  <si>
    <t>TD808966</t>
  </si>
  <si>
    <t>645-143</t>
  </si>
  <si>
    <t>1XPCD49X2TD808967</t>
  </si>
  <si>
    <t>645-144</t>
  </si>
  <si>
    <t>1XPCD49X4TD808968</t>
  </si>
  <si>
    <t>645-145</t>
  </si>
  <si>
    <t>1XPCD49X6TD808969</t>
  </si>
  <si>
    <t>645-146</t>
  </si>
  <si>
    <t>1XPCD49X2VD818188</t>
  </si>
  <si>
    <t>645-147</t>
  </si>
  <si>
    <t>1XPCD49X2VD818191</t>
  </si>
  <si>
    <t>Old vin 1XPCD49X4VD818189</t>
  </si>
  <si>
    <t>645-148</t>
  </si>
  <si>
    <t>1XPCP40X4VD818195</t>
  </si>
  <si>
    <t>Old vin 1XPCD49X0VD818190</t>
  </si>
  <si>
    <t>645-149</t>
  </si>
  <si>
    <t>1XPCP40X8VD818197</t>
  </si>
  <si>
    <t>Old vin 1XPCD49X2VD818191</t>
  </si>
  <si>
    <t>645-150</t>
  </si>
  <si>
    <t>1XPCD49X4VD818189</t>
  </si>
  <si>
    <t>Old vin 1XPCP40X9VD818192</t>
  </si>
  <si>
    <t>645-151</t>
  </si>
  <si>
    <t>1XPCP40X9VD818192</t>
  </si>
  <si>
    <t>Old vin 1XPCP40X0VD818193</t>
  </si>
  <si>
    <t>645-152</t>
  </si>
  <si>
    <t>1XPCP40X2VD818194</t>
  </si>
  <si>
    <t>Old vin 1XPCP40X2VD818194</t>
  </si>
  <si>
    <t>645-153</t>
  </si>
  <si>
    <t>1XPCD49X0VD818190</t>
  </si>
  <si>
    <t>Old vin 1XPCP40X4VD818195</t>
  </si>
  <si>
    <t>645-154</t>
  </si>
  <si>
    <t>1XPCP40X6VD818196</t>
  </si>
  <si>
    <t>645-155</t>
  </si>
  <si>
    <t>1XPCP40X0VD818193</t>
  </si>
  <si>
    <t>Old vin 1XPCP40X8VD818197</t>
  </si>
  <si>
    <t>645-156</t>
  </si>
  <si>
    <t>1XPCP49X5VD823926</t>
  </si>
  <si>
    <t>645-168</t>
  </si>
  <si>
    <t>645-169</t>
  </si>
  <si>
    <t>645-170</t>
  </si>
  <si>
    <t>645-171</t>
  </si>
  <si>
    <t>645-172</t>
  </si>
  <si>
    <t>645-173</t>
  </si>
  <si>
    <t>645-174</t>
  </si>
  <si>
    <t>645-175</t>
  </si>
  <si>
    <t>645-176</t>
  </si>
  <si>
    <t>645-177</t>
  </si>
  <si>
    <t>645-201</t>
  </si>
  <si>
    <t>1XPBDP9X0LD633969</t>
  </si>
  <si>
    <t>767-108</t>
  </si>
  <si>
    <t>M E I Rigging &amp; Crafting  LLC</t>
  </si>
  <si>
    <t>1XPCD49X3JD474235</t>
  </si>
  <si>
    <t>767-128</t>
  </si>
  <si>
    <t>Condie Construction Company Inc.</t>
  </si>
  <si>
    <t>1XPCP4EX1PD817999</t>
  </si>
  <si>
    <t>767-132</t>
  </si>
  <si>
    <t>Waste &amp; Water Logistics  LLC</t>
  </si>
  <si>
    <t>1XPCPEX6PD838895</t>
  </si>
  <si>
    <t>Customer responsibility</t>
  </si>
  <si>
    <t>P0979</t>
  </si>
  <si>
    <t>767-134</t>
  </si>
  <si>
    <t>2NP8HJ8X3PM876909</t>
  </si>
  <si>
    <t>T636AV</t>
  </si>
  <si>
    <t>767-135</t>
  </si>
  <si>
    <t>2NP8HJ8XXPM876910</t>
  </si>
  <si>
    <t>U578ZE</t>
  </si>
  <si>
    <t>767-136</t>
  </si>
  <si>
    <t>2NPMHJ7X8PM876906</t>
  </si>
  <si>
    <t>767-137</t>
  </si>
  <si>
    <t>2NP8HJ8X1PM876908</t>
  </si>
  <si>
    <t>U579ZE</t>
  </si>
  <si>
    <t>767-138</t>
  </si>
  <si>
    <t>D &amp; L Supply</t>
  </si>
  <si>
    <t>1XPXD49X0PD886543</t>
  </si>
  <si>
    <t>MMLA</t>
  </si>
  <si>
    <t>767-147</t>
  </si>
  <si>
    <t>1XPCP4EXXRD686400</t>
  </si>
  <si>
    <t>767-148</t>
  </si>
  <si>
    <t>2NPMHJ7X0SM727883</t>
  </si>
  <si>
    <t>767-149</t>
  </si>
  <si>
    <t>2NPMHJ7X2SM727884</t>
  </si>
  <si>
    <t>767-150</t>
  </si>
  <si>
    <t>1NPCX4EX3SD727885</t>
  </si>
  <si>
    <t>Turned in 7/31/2025</t>
  </si>
  <si>
    <t>767-151</t>
  </si>
  <si>
    <t>1NPCX4EX5SD727886</t>
  </si>
  <si>
    <t>Judy</t>
  </si>
  <si>
    <t>767-152</t>
  </si>
  <si>
    <t>South Utah Valley Solid</t>
  </si>
  <si>
    <t>1XPCD49X8SD757764</t>
  </si>
  <si>
    <t>Expires When Sold</t>
  </si>
  <si>
    <t>767-153</t>
  </si>
  <si>
    <t>1XPCD49XXSD757765</t>
  </si>
  <si>
    <t>767-154</t>
  </si>
  <si>
    <t>1XPCD49X1SD757766</t>
  </si>
  <si>
    <t>767-155</t>
  </si>
  <si>
    <t>1XPCD49X3SD757767</t>
  </si>
  <si>
    <t>767-156</t>
  </si>
  <si>
    <t>1XPCD49X5SD757768</t>
  </si>
  <si>
    <t>767-157</t>
  </si>
  <si>
    <t>1XPCD49X7SD757769</t>
  </si>
  <si>
    <t>767-158</t>
  </si>
  <si>
    <t>1XPCD49X7SD757934</t>
  </si>
  <si>
    <t>767-159</t>
  </si>
  <si>
    <t>1XPCD49X9SD757935</t>
  </si>
  <si>
    <t>767-160</t>
  </si>
  <si>
    <t>1NPCX4EX4TD794075</t>
  </si>
  <si>
    <t>St George</t>
  </si>
  <si>
    <t>777-116</t>
  </si>
  <si>
    <t>Autoliv Asp Inc-accounts Payable</t>
  </si>
  <si>
    <t>1XPBD49X2KD264285</t>
  </si>
  <si>
    <t>P1419</t>
  </si>
  <si>
    <t>Captive sub</t>
  </si>
  <si>
    <t>777-117</t>
  </si>
  <si>
    <t>1XPBD49X9LD670274</t>
  </si>
  <si>
    <t>BP Feb</t>
  </si>
  <si>
    <t>P0896</t>
  </si>
  <si>
    <t>Cummins</t>
  </si>
  <si>
    <t>777-118</t>
  </si>
  <si>
    <t>Model Linen Inc.</t>
  </si>
  <si>
    <t>2NPNHM6X7LM719644</t>
  </si>
  <si>
    <t>G478</t>
  </si>
  <si>
    <t>777-119</t>
  </si>
  <si>
    <t>2NPNHM6X9LM719645</t>
  </si>
  <si>
    <t>G493</t>
  </si>
  <si>
    <t>777-120</t>
  </si>
  <si>
    <t>2NPNHM6X0LM719646</t>
  </si>
  <si>
    <t>G479</t>
  </si>
  <si>
    <t>777-121</t>
  </si>
  <si>
    <t>2NPNHM6X2LM719647</t>
  </si>
  <si>
    <t>F407</t>
  </si>
  <si>
    <t>777-122</t>
  </si>
  <si>
    <t>2NPNHM6X4LM719648</t>
  </si>
  <si>
    <t>G207</t>
  </si>
  <si>
    <t>777-123</t>
  </si>
  <si>
    <t>2NPNHM6X6LM719649</t>
  </si>
  <si>
    <t>G487</t>
  </si>
  <si>
    <t>777-124</t>
  </si>
  <si>
    <t>2NPNHM6X2LM719650</t>
  </si>
  <si>
    <t>G157</t>
  </si>
  <si>
    <t>777-126</t>
  </si>
  <si>
    <t>1XPBD49X3MD746217</t>
  </si>
  <si>
    <t>P0122</t>
  </si>
  <si>
    <t>777-127</t>
  </si>
  <si>
    <t>2NPNHM6X8PM812002</t>
  </si>
  <si>
    <t>777-128</t>
  </si>
  <si>
    <t>2NPNHM6XXPM812003</t>
  </si>
  <si>
    <t>777-129</t>
  </si>
  <si>
    <t>2NPNHM6X6PM833995</t>
  </si>
  <si>
    <t>777-130</t>
  </si>
  <si>
    <t>2NPNHM6X8PM833996</t>
  </si>
  <si>
    <t>777-131</t>
  </si>
  <si>
    <t>2NPKHM6X8PM839266</t>
  </si>
  <si>
    <t>777-132</t>
  </si>
  <si>
    <t>2NPKHM6XXPM839267</t>
  </si>
  <si>
    <t>777-133</t>
  </si>
  <si>
    <t>1XPBDP9X0PD865851</t>
  </si>
  <si>
    <t>Paccar</t>
  </si>
  <si>
    <t>777-134</t>
  </si>
  <si>
    <t>B.C.</t>
  </si>
  <si>
    <t>1XPBDP9X2PD864166</t>
  </si>
  <si>
    <t>BP OCT</t>
  </si>
  <si>
    <t>777-135</t>
  </si>
  <si>
    <t>1XPBDP9X6PD870939</t>
  </si>
  <si>
    <t>777-136</t>
  </si>
  <si>
    <t>1XPBDP9X4PD870938</t>
  </si>
  <si>
    <t>777-137</t>
  </si>
  <si>
    <t>Intermountain Farmers Association</t>
  </si>
  <si>
    <t>1XPCPP0X1PD868895</t>
  </si>
  <si>
    <t>P1315</t>
  </si>
  <si>
    <t>777-138</t>
  </si>
  <si>
    <t>2NPKHM6X1RM662580</t>
  </si>
  <si>
    <t>BP August</t>
  </si>
  <si>
    <t>777-139</t>
  </si>
  <si>
    <t>2NPKHM6X3RM662581</t>
  </si>
  <si>
    <t>777-140</t>
  </si>
  <si>
    <t>1XPBDP9X6RD893771</t>
  </si>
  <si>
    <t>777-141</t>
  </si>
  <si>
    <t>1XPBDP9X8RD893772</t>
  </si>
  <si>
    <t>777-142</t>
  </si>
  <si>
    <t>1XPCPP0XXRD691914</t>
  </si>
  <si>
    <t>P0555</t>
  </si>
  <si>
    <t>777-143</t>
  </si>
  <si>
    <t>1XPBD49X1SD716601</t>
  </si>
  <si>
    <t>777-144</t>
  </si>
  <si>
    <t>1XPBD49X3SD716602</t>
  </si>
  <si>
    <t>777-145</t>
  </si>
  <si>
    <t>1XPBD49X5SD716603</t>
  </si>
  <si>
    <t>777-146</t>
  </si>
  <si>
    <t>2NPKHM6X7SM760275</t>
  </si>
  <si>
    <t>777-147</t>
  </si>
  <si>
    <t>2NPKHM6XXTM807560</t>
  </si>
  <si>
    <t>777-148</t>
  </si>
  <si>
    <t>2NPKHM6X1TM807561</t>
  </si>
  <si>
    <t>Needs box light switch in cab</t>
  </si>
  <si>
    <t>777-149</t>
  </si>
  <si>
    <t>2NPKHM6X3TM807562</t>
  </si>
  <si>
    <t>777-150</t>
  </si>
  <si>
    <t>2NPKHM6X5TM807563</t>
  </si>
  <si>
    <t>Light switch good</t>
  </si>
  <si>
    <t>777-151</t>
  </si>
  <si>
    <t>2NPKHM6X7TM807564</t>
  </si>
  <si>
    <t>777-152</t>
  </si>
  <si>
    <t>2NPKHM6X9TM807565</t>
  </si>
  <si>
    <t>777-153</t>
  </si>
  <si>
    <t>2NPKHM6X0TM807566</t>
  </si>
  <si>
    <t>777-154</t>
  </si>
  <si>
    <t>2NPKHM6X2TM807567</t>
  </si>
  <si>
    <t>Needs box light switch in cab and Unit # decals</t>
  </si>
  <si>
    <t>777-155</t>
  </si>
  <si>
    <t>2NPKHM6X4TM807568</t>
  </si>
  <si>
    <t>777-156</t>
  </si>
  <si>
    <t>1XPCP40X8TD815765</t>
  </si>
  <si>
    <t>Retail</t>
  </si>
  <si>
    <t>SD767979</t>
  </si>
  <si>
    <t>2NP8LJ0X7TM810027</t>
  </si>
  <si>
    <t>1XPCP4EX7TD795386</t>
  </si>
  <si>
    <t xml:space="preserve">1NPCL40XXTD794911 </t>
  </si>
  <si>
    <t>Trailer</t>
  </si>
  <si>
    <t>Side Dump</t>
  </si>
  <si>
    <t>HTRANS</t>
  </si>
  <si>
    <t>Old Castle</t>
  </si>
  <si>
    <t>Pacific Channel 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</si>
</sst>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A0A0A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Aptos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9F9F9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top"/>
    </xf>
    <xf numFmtId="14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top"/>
    </xf>
    <xf numFmtId="14" fontId="5" fillId="1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7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/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1" xfId="0" applyFont="1" applyBorder="1"/>
    <xf numFmtId="0" fontId="9" fillId="0" borderId="0" xfId="0" applyFont="1"/>
    <xf numFmtId="0" fontId="10" fillId="0" borderId="0" xfId="0" applyFont="1"/>
    <xf numFmtId="0" fontId="7" fillId="8" borderId="0" xfId="0" applyFont="1" applyFill="1" applyAlignment="1">
      <alignment horizontal="center" vertical="center" wrapText="1"/>
    </xf>
    <xf numFmtId="0" fontId="5" fillId="0" borderId="1" xfId="0" applyFont="1" applyBorder="1"/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4601-D296-4A83-8F4A-9FA4A15F4E03}">
  <sheetPr>
    <pageSetUpPr fitToPage="1"/>
  </sheetPr>
  <dimension ref="A1:W559"/>
  <sheetViews>
    <sheetView tabSelected="1" workbookViewId="0">
      <pane ySplit="1" topLeftCell="A2" activePane="bottomLeft" state="frozen"/>
      <selection pane="bottomLeft" activeCell="E124" sqref="E124"/>
    </sheetView>
  </sheetViews>
  <sheetFormatPr defaultColWidth="0.140625" defaultRowHeight="15.75" customHeight="1" x14ac:dyDescent="0.25"/>
  <cols>
    <col min="1" max="1" width="9.42578125" style="21" customWidth="1"/>
    <col min="2" max="2" width="8.42578125" style="21" customWidth="1"/>
    <col min="3" max="3" width="8.42578125" style="22" customWidth="1"/>
    <col min="4" max="4" width="26.42578125" style="23" customWidth="1"/>
    <col min="5" max="5" width="23.85546875" style="21" bestFit="1" customWidth="1"/>
    <col min="6" max="6" width="8.140625" style="21" bestFit="1" customWidth="1"/>
    <col min="7" max="7" width="8.7109375" style="21" customWidth="1"/>
    <col min="8" max="8" width="9.5703125" style="21" customWidth="1"/>
    <col min="9" max="9" width="15.140625" style="56" customWidth="1"/>
    <col min="10" max="11" width="14.85546875" style="21" bestFit="1" customWidth="1"/>
    <col min="12" max="12" width="9.140625" style="21" customWidth="1"/>
    <col min="13" max="13" width="10.42578125" style="21" customWidth="1"/>
    <col min="14" max="14" width="16.28515625" style="21" bestFit="1" customWidth="1"/>
    <col min="15" max="15" width="18.5703125" style="21" customWidth="1"/>
    <col min="16" max="17" width="8.28515625" style="21" customWidth="1"/>
    <col min="18" max="18" width="9.85546875" style="21" customWidth="1"/>
    <col min="19" max="20" width="10.5703125" style="21" customWidth="1"/>
    <col min="21" max="21" width="16.42578125" style="21" bestFit="1" customWidth="1"/>
    <col min="22" max="22" width="40.5703125" style="22" customWidth="1"/>
    <col min="23" max="23" width="0.140625" style="21"/>
    <col min="24" max="24" width="11.85546875" style="21" customWidth="1"/>
    <col min="25" max="16384" width="0.140625" style="21"/>
  </cols>
  <sheetData>
    <row r="1" spans="1:22" s="6" customFormat="1" ht="15.7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5" t="s">
        <v>21</v>
      </c>
    </row>
    <row r="2" spans="1:22" s="9" customFormat="1" ht="15.75" customHeight="1" x14ac:dyDescent="0.25">
      <c r="A2" s="7" t="s">
        <v>22</v>
      </c>
      <c r="B2" s="8"/>
      <c r="C2" s="9" t="s">
        <v>23</v>
      </c>
      <c r="D2" s="10" t="s">
        <v>24</v>
      </c>
      <c r="E2" s="7" t="s">
        <v>25</v>
      </c>
      <c r="F2" s="8">
        <v>2019</v>
      </c>
      <c r="G2" s="8" t="s">
        <v>26</v>
      </c>
      <c r="H2" s="8">
        <v>579</v>
      </c>
      <c r="I2" s="8"/>
      <c r="J2" s="11">
        <v>43451</v>
      </c>
      <c r="K2" s="12"/>
      <c r="L2" s="13">
        <f ca="1">DATEDIF(J2, TODAY(), "m")</f>
        <v>87</v>
      </c>
      <c r="M2" s="12"/>
      <c r="N2" s="12"/>
      <c r="O2" s="12"/>
      <c r="P2" s="12"/>
      <c r="Q2" s="12">
        <v>104</v>
      </c>
      <c r="R2" s="12"/>
      <c r="S2" s="12"/>
      <c r="T2" s="12"/>
      <c r="U2" s="12"/>
      <c r="V2" s="14"/>
    </row>
    <row r="3" spans="1:22" s="15" customFormat="1" ht="15.75" customHeight="1" x14ac:dyDescent="0.25">
      <c r="A3" s="15" t="s">
        <v>27</v>
      </c>
      <c r="B3" s="15">
        <v>725</v>
      </c>
      <c r="C3" s="16"/>
      <c r="D3" s="17" t="s">
        <v>24</v>
      </c>
      <c r="E3" s="15" t="s">
        <v>28</v>
      </c>
      <c r="F3" s="15" t="s">
        <v>29</v>
      </c>
      <c r="G3" s="15" t="s">
        <v>30</v>
      </c>
      <c r="H3" s="15" t="s">
        <v>31</v>
      </c>
      <c r="I3" s="15" t="s">
        <v>32</v>
      </c>
      <c r="J3" s="18"/>
      <c r="K3" s="18"/>
      <c r="L3" s="19">
        <f ca="1">DATEDIF(J3, TODAY(), "m")</f>
        <v>1515</v>
      </c>
      <c r="M3" s="18"/>
      <c r="O3" s="18"/>
      <c r="P3" s="18"/>
      <c r="Q3" s="12">
        <v>104</v>
      </c>
      <c r="V3" s="16"/>
    </row>
    <row r="4" spans="1:22" ht="15.75" customHeight="1" x14ac:dyDescent="0.25">
      <c r="A4" s="20" t="s">
        <v>33</v>
      </c>
      <c r="C4" s="22" t="s">
        <v>34</v>
      </c>
      <c r="D4" s="23" t="s">
        <v>35</v>
      </c>
      <c r="E4" s="20" t="s">
        <v>36</v>
      </c>
      <c r="F4" s="20" t="s">
        <v>29</v>
      </c>
      <c r="G4" s="20" t="s">
        <v>30</v>
      </c>
      <c r="H4" s="20" t="s">
        <v>31</v>
      </c>
      <c r="I4" s="24" t="s">
        <v>32</v>
      </c>
      <c r="J4" s="25"/>
      <c r="K4" s="25"/>
      <c r="L4" s="13">
        <f ca="1">DATEDIF(J4, TODAY(), "m")</f>
        <v>1515</v>
      </c>
      <c r="M4" s="25"/>
      <c r="N4" s="20"/>
      <c r="Q4" s="12">
        <v>104</v>
      </c>
    </row>
    <row r="5" spans="1:22" ht="15.75" customHeight="1" x14ac:dyDescent="0.25">
      <c r="A5" s="21" t="s">
        <v>37</v>
      </c>
      <c r="C5" s="22" t="s">
        <v>34</v>
      </c>
      <c r="D5" s="23" t="s">
        <v>35</v>
      </c>
      <c r="E5" s="21" t="s">
        <v>38</v>
      </c>
      <c r="F5" s="21" t="s">
        <v>39</v>
      </c>
      <c r="G5" s="21" t="s">
        <v>30</v>
      </c>
      <c r="H5" s="21" t="s">
        <v>31</v>
      </c>
      <c r="I5" s="24" t="s">
        <v>32</v>
      </c>
      <c r="J5" s="25">
        <v>44097</v>
      </c>
      <c r="K5" s="25">
        <v>46653</v>
      </c>
      <c r="L5" s="13">
        <f ca="1">DATEDIF(J5, TODAY(), "m")</f>
        <v>66</v>
      </c>
      <c r="M5" s="25"/>
      <c r="Q5" s="12">
        <v>104</v>
      </c>
    </row>
    <row r="6" spans="1:22" ht="15.75" customHeight="1" x14ac:dyDescent="0.25">
      <c r="A6" s="7" t="s">
        <v>40</v>
      </c>
      <c r="C6" s="9" t="s">
        <v>23</v>
      </c>
      <c r="D6" s="23" t="s">
        <v>24</v>
      </c>
      <c r="E6" s="7" t="s">
        <v>41</v>
      </c>
      <c r="F6" s="21">
        <v>2022</v>
      </c>
      <c r="G6" s="21" t="s">
        <v>26</v>
      </c>
      <c r="H6" s="21">
        <v>579</v>
      </c>
      <c r="I6" s="24"/>
      <c r="J6" s="11">
        <v>44277</v>
      </c>
      <c r="K6" s="25"/>
      <c r="L6" s="13">
        <f ca="1">DATEDIF(J6, TODAY(), "m")</f>
        <v>60</v>
      </c>
      <c r="M6" s="25"/>
      <c r="Q6" s="12">
        <v>104</v>
      </c>
    </row>
    <row r="7" spans="1:22" ht="15.75" customHeight="1" x14ac:dyDescent="0.25">
      <c r="A7" s="21" t="s">
        <v>42</v>
      </c>
      <c r="C7" s="9" t="s">
        <v>23</v>
      </c>
      <c r="D7" s="26" t="s">
        <v>24</v>
      </c>
      <c r="E7" s="21" t="s">
        <v>43</v>
      </c>
      <c r="F7" s="21" t="s">
        <v>44</v>
      </c>
      <c r="G7" s="21" t="s">
        <v>30</v>
      </c>
      <c r="H7" s="21" t="s">
        <v>31</v>
      </c>
      <c r="I7" s="24" t="s">
        <v>32</v>
      </c>
      <c r="L7" s="13">
        <f ca="1">DATEDIF(J7, TODAY(), "m")</f>
        <v>1515</v>
      </c>
      <c r="Q7" s="12">
        <v>104</v>
      </c>
    </row>
    <row r="8" spans="1:22" ht="15.75" customHeight="1" x14ac:dyDescent="0.25">
      <c r="A8" s="7" t="s">
        <v>45</v>
      </c>
      <c r="C8" s="9" t="s">
        <v>23</v>
      </c>
      <c r="D8" s="23" t="s">
        <v>24</v>
      </c>
      <c r="E8" s="7" t="s">
        <v>46</v>
      </c>
      <c r="F8" s="7">
        <v>2025</v>
      </c>
      <c r="G8" s="21" t="s">
        <v>30</v>
      </c>
      <c r="H8" s="21" t="s">
        <v>31</v>
      </c>
      <c r="I8" s="24"/>
      <c r="J8" s="11">
        <v>45536</v>
      </c>
      <c r="K8" s="25"/>
      <c r="L8" s="13">
        <f ca="1">DATEDIF(J8, TODAY(), "m")</f>
        <v>19</v>
      </c>
      <c r="M8" s="25"/>
      <c r="Q8" s="12">
        <v>104</v>
      </c>
    </row>
    <row r="9" spans="1:22" ht="15.75" customHeight="1" x14ac:dyDescent="0.25">
      <c r="A9" s="7" t="s">
        <v>47</v>
      </c>
      <c r="C9" s="9" t="s">
        <v>23</v>
      </c>
      <c r="D9" s="23" t="s">
        <v>24</v>
      </c>
      <c r="E9" s="7" t="s">
        <v>48</v>
      </c>
      <c r="F9" s="7">
        <v>2025</v>
      </c>
      <c r="G9" s="21" t="s">
        <v>30</v>
      </c>
      <c r="H9" s="21" t="s">
        <v>31</v>
      </c>
      <c r="I9" s="24"/>
      <c r="J9" s="11">
        <v>45536</v>
      </c>
      <c r="K9" s="25"/>
      <c r="L9" s="13">
        <f ca="1">DATEDIF(J9, TODAY(), "m")</f>
        <v>19</v>
      </c>
      <c r="M9" s="25"/>
      <c r="Q9" s="12">
        <v>104</v>
      </c>
    </row>
    <row r="10" spans="1:22" ht="15.75" customHeight="1" x14ac:dyDescent="0.25">
      <c r="A10" s="7" t="s">
        <v>49</v>
      </c>
      <c r="C10" s="9" t="s">
        <v>23</v>
      </c>
      <c r="D10" s="23" t="s">
        <v>24</v>
      </c>
      <c r="E10" s="7" t="s">
        <v>50</v>
      </c>
      <c r="F10" s="7">
        <v>2025</v>
      </c>
      <c r="G10" s="21" t="s">
        <v>30</v>
      </c>
      <c r="H10" s="21" t="s">
        <v>31</v>
      </c>
      <c r="I10" s="24"/>
      <c r="J10" s="11">
        <v>45536</v>
      </c>
      <c r="K10" s="25"/>
      <c r="L10" s="13">
        <f ca="1">DATEDIF(J10, TODAY(), "m")</f>
        <v>19</v>
      </c>
      <c r="M10" s="25"/>
      <c r="Q10" s="12">
        <v>104</v>
      </c>
    </row>
    <row r="11" spans="1:22" ht="15.75" customHeight="1" x14ac:dyDescent="0.25">
      <c r="A11" s="21" t="s">
        <v>51</v>
      </c>
      <c r="C11" s="9" t="s">
        <v>23</v>
      </c>
      <c r="D11" s="26" t="s">
        <v>24</v>
      </c>
      <c r="E11" s="27" t="s">
        <v>52</v>
      </c>
      <c r="F11" s="21">
        <v>2025</v>
      </c>
      <c r="G11" s="21" t="s">
        <v>30</v>
      </c>
      <c r="H11" s="21">
        <v>589</v>
      </c>
      <c r="I11" s="24" t="s">
        <v>32</v>
      </c>
      <c r="L11" s="13">
        <f ca="1">DATEDIF(J11, TODAY(), "m")</f>
        <v>1515</v>
      </c>
      <c r="Q11" s="12">
        <v>104</v>
      </c>
    </row>
    <row r="12" spans="1:22" ht="15.75" customHeight="1" x14ac:dyDescent="0.25">
      <c r="A12" s="21" t="s">
        <v>53</v>
      </c>
      <c r="C12" s="9" t="s">
        <v>23</v>
      </c>
      <c r="D12" s="26" t="s">
        <v>24</v>
      </c>
      <c r="E12" s="27" t="s">
        <v>54</v>
      </c>
      <c r="F12" s="21">
        <v>2025</v>
      </c>
      <c r="I12" s="24"/>
      <c r="L12" s="13">
        <f ca="1">DATEDIF(J12, TODAY(), "m")</f>
        <v>1515</v>
      </c>
      <c r="Q12" s="12">
        <v>104</v>
      </c>
    </row>
    <row r="13" spans="1:22" ht="15.75" customHeight="1" x14ac:dyDescent="0.25">
      <c r="A13" s="21" t="s">
        <v>55</v>
      </c>
      <c r="C13" s="9" t="s">
        <v>23</v>
      </c>
      <c r="D13" s="26" t="s">
        <v>24</v>
      </c>
      <c r="E13" s="28" t="s">
        <v>56</v>
      </c>
      <c r="I13" s="24"/>
      <c r="L13" s="13">
        <f ca="1">DATEDIF(J13, TODAY(), "m")</f>
        <v>1515</v>
      </c>
      <c r="Q13" s="12">
        <v>104</v>
      </c>
    </row>
    <row r="14" spans="1:22" ht="15.75" customHeight="1" x14ac:dyDescent="0.25">
      <c r="A14" s="21" t="s">
        <v>57</v>
      </c>
      <c r="C14" s="9" t="s">
        <v>23</v>
      </c>
      <c r="D14" s="26" t="s">
        <v>24</v>
      </c>
      <c r="E14" s="28" t="s">
        <v>58</v>
      </c>
      <c r="I14" s="24"/>
      <c r="L14" s="13">
        <f ca="1">DATEDIF(J14, TODAY(), "m")</f>
        <v>1515</v>
      </c>
      <c r="Q14" s="12">
        <v>104</v>
      </c>
    </row>
    <row r="15" spans="1:22" ht="15.75" customHeight="1" x14ac:dyDescent="0.25">
      <c r="A15" s="21" t="s">
        <v>59</v>
      </c>
      <c r="C15" s="22" t="s">
        <v>34</v>
      </c>
      <c r="D15" s="26" t="s">
        <v>60</v>
      </c>
      <c r="E15" s="28" t="s">
        <v>61</v>
      </c>
      <c r="F15" s="21">
        <v>2025</v>
      </c>
      <c r="I15" s="24"/>
      <c r="L15" s="13">
        <f ca="1">DATEDIF(J15, TODAY(), "m")</f>
        <v>1515</v>
      </c>
      <c r="Q15" s="12">
        <v>104</v>
      </c>
    </row>
    <row r="16" spans="1:22" ht="15.75" customHeight="1" x14ac:dyDescent="0.25">
      <c r="A16" s="7" t="s">
        <v>62</v>
      </c>
      <c r="C16" s="9" t="s">
        <v>23</v>
      </c>
      <c r="D16" s="23" t="s">
        <v>24</v>
      </c>
      <c r="E16" s="7" t="s">
        <v>63</v>
      </c>
      <c r="F16" s="7">
        <v>2025</v>
      </c>
      <c r="G16" s="21" t="s">
        <v>26</v>
      </c>
      <c r="H16" s="7">
        <v>579</v>
      </c>
      <c r="I16" s="24"/>
      <c r="J16" s="11"/>
      <c r="K16" s="25"/>
      <c r="L16" s="13">
        <f ca="1">DATEDIF(J16, TODAY(), "m")</f>
        <v>1515</v>
      </c>
      <c r="M16" s="25"/>
      <c r="Q16" s="12">
        <v>104</v>
      </c>
    </row>
    <row r="17" spans="1:23" ht="15.75" customHeight="1" x14ac:dyDescent="0.25">
      <c r="A17" s="7" t="s">
        <v>64</v>
      </c>
      <c r="C17" s="9" t="s">
        <v>23</v>
      </c>
      <c r="D17" s="23" t="s">
        <v>24</v>
      </c>
      <c r="E17" s="7" t="s">
        <v>65</v>
      </c>
      <c r="F17" s="7">
        <v>2026</v>
      </c>
      <c r="G17" s="21" t="s">
        <v>26</v>
      </c>
      <c r="H17" s="7">
        <v>579</v>
      </c>
      <c r="I17" s="24"/>
      <c r="J17" s="11">
        <v>45930</v>
      </c>
      <c r="K17" s="25"/>
      <c r="L17" s="13">
        <f ca="1">DATEDIF(J17, TODAY(), "m")</f>
        <v>6</v>
      </c>
      <c r="M17" s="25"/>
      <c r="Q17" s="12">
        <v>104</v>
      </c>
      <c r="W17" s="20"/>
    </row>
    <row r="18" spans="1:23" ht="15.75" customHeight="1" x14ac:dyDescent="0.25">
      <c r="A18" s="21" t="s">
        <v>66</v>
      </c>
      <c r="C18" s="22" t="s">
        <v>34</v>
      </c>
      <c r="D18" s="23" t="s">
        <v>67</v>
      </c>
      <c r="E18" s="21">
        <v>817895</v>
      </c>
      <c r="G18" s="21" t="s">
        <v>30</v>
      </c>
      <c r="H18" s="21">
        <v>567</v>
      </c>
      <c r="I18" s="24"/>
      <c r="L18" s="13">
        <f ca="1">DATEDIF(J18, TODAY(), "m")</f>
        <v>1515</v>
      </c>
      <c r="Q18" s="12">
        <v>104</v>
      </c>
    </row>
    <row r="19" spans="1:23" ht="15.75" customHeight="1" x14ac:dyDescent="0.25">
      <c r="A19" s="21" t="s">
        <v>68</v>
      </c>
      <c r="C19" s="9" t="s">
        <v>23</v>
      </c>
      <c r="D19" s="23" t="s">
        <v>24</v>
      </c>
      <c r="E19" s="21">
        <v>829806</v>
      </c>
      <c r="G19" s="21" t="s">
        <v>30</v>
      </c>
      <c r="H19" s="21">
        <v>567</v>
      </c>
      <c r="I19" s="24"/>
      <c r="L19" s="13">
        <f ca="1">DATEDIF(J19, TODAY(), "m")</f>
        <v>1515</v>
      </c>
      <c r="N19" s="21" t="s">
        <v>69</v>
      </c>
      <c r="Q19" s="12">
        <v>104</v>
      </c>
      <c r="V19" s="22" t="s">
        <v>70</v>
      </c>
    </row>
    <row r="20" spans="1:23" ht="15.75" customHeight="1" x14ac:dyDescent="0.25">
      <c r="A20" s="21" t="s">
        <v>71</v>
      </c>
      <c r="C20" s="9" t="s">
        <v>23</v>
      </c>
      <c r="D20" s="23" t="s">
        <v>24</v>
      </c>
      <c r="E20" s="21">
        <v>829807</v>
      </c>
      <c r="G20" s="21" t="s">
        <v>30</v>
      </c>
      <c r="H20" s="21">
        <v>567</v>
      </c>
      <c r="I20" s="24"/>
      <c r="L20" s="13">
        <f ca="1">DATEDIF(J20, TODAY(), "m")</f>
        <v>1515</v>
      </c>
      <c r="N20" s="21" t="s">
        <v>69</v>
      </c>
      <c r="Q20" s="12">
        <v>104</v>
      </c>
      <c r="V20" s="22" t="s">
        <v>70</v>
      </c>
    </row>
    <row r="21" spans="1:23" ht="15.75" customHeight="1" x14ac:dyDescent="0.25">
      <c r="A21" s="21" t="s">
        <v>72</v>
      </c>
      <c r="C21" s="9" t="s">
        <v>23</v>
      </c>
      <c r="D21" s="23" t="s">
        <v>24</v>
      </c>
      <c r="E21" s="21">
        <v>829808</v>
      </c>
      <c r="G21" s="21" t="s">
        <v>30</v>
      </c>
      <c r="H21" s="21">
        <v>567</v>
      </c>
      <c r="I21" s="24"/>
      <c r="L21" s="13">
        <f ca="1">DATEDIF(J21, TODAY(), "m")</f>
        <v>1515</v>
      </c>
      <c r="N21" s="21" t="s">
        <v>69</v>
      </c>
      <c r="Q21" s="12">
        <v>104</v>
      </c>
      <c r="V21" s="22" t="s">
        <v>70</v>
      </c>
    </row>
    <row r="22" spans="1:23" ht="15.75" customHeight="1" x14ac:dyDescent="0.25">
      <c r="A22" s="21" t="s">
        <v>73</v>
      </c>
      <c r="C22" s="22" t="s">
        <v>34</v>
      </c>
      <c r="D22" s="23" t="s">
        <v>74</v>
      </c>
      <c r="E22" s="21">
        <v>815864</v>
      </c>
      <c r="G22" s="21" t="s">
        <v>30</v>
      </c>
      <c r="H22" s="21">
        <v>536</v>
      </c>
      <c r="I22" s="24"/>
      <c r="L22" s="13">
        <f ca="1">DATEDIF(J22, TODAY(), "m")</f>
        <v>1515</v>
      </c>
      <c r="Q22" s="12">
        <v>104</v>
      </c>
    </row>
    <row r="23" spans="1:23" ht="15.75" customHeight="1" x14ac:dyDescent="0.25">
      <c r="A23" s="20" t="s">
        <v>75</v>
      </c>
      <c r="C23" s="22" t="s">
        <v>34</v>
      </c>
      <c r="D23" s="26" t="s">
        <v>76</v>
      </c>
      <c r="E23" s="20"/>
      <c r="F23" s="20"/>
      <c r="G23" s="20"/>
      <c r="H23" s="20"/>
      <c r="I23" s="24"/>
      <c r="J23" s="25"/>
      <c r="K23" s="25"/>
      <c r="L23" s="13">
        <f ca="1">DATEDIF(J23, TODAY(), "m")</f>
        <v>1515</v>
      </c>
      <c r="M23" s="25"/>
      <c r="N23" s="20"/>
      <c r="Q23" s="12">
        <v>104</v>
      </c>
      <c r="V23" s="22" t="s">
        <v>77</v>
      </c>
    </row>
    <row r="24" spans="1:23" ht="15.75" customHeight="1" x14ac:dyDescent="0.25">
      <c r="A24" s="21" t="s">
        <v>78</v>
      </c>
      <c r="C24" s="22" t="s">
        <v>34</v>
      </c>
      <c r="D24" s="23" t="s">
        <v>79</v>
      </c>
      <c r="E24" s="21">
        <v>817898</v>
      </c>
      <c r="G24" s="21" t="s">
        <v>30</v>
      </c>
      <c r="H24" s="21">
        <v>567</v>
      </c>
      <c r="I24" s="24"/>
      <c r="L24" s="13">
        <f ca="1">DATEDIF(J24, TODAY(), "m")</f>
        <v>1515</v>
      </c>
      <c r="Q24" s="12">
        <v>104</v>
      </c>
    </row>
    <row r="25" spans="1:23" ht="15.75" customHeight="1" x14ac:dyDescent="0.25">
      <c r="A25" s="21" t="s">
        <v>80</v>
      </c>
      <c r="C25" s="22" t="s">
        <v>81</v>
      </c>
      <c r="D25" s="23" t="s">
        <v>82</v>
      </c>
      <c r="E25" s="21" t="s">
        <v>83</v>
      </c>
      <c r="F25" s="21" t="s">
        <v>84</v>
      </c>
      <c r="G25" s="21" t="s">
        <v>30</v>
      </c>
      <c r="H25" s="21" t="s">
        <v>85</v>
      </c>
      <c r="I25" s="24" t="s">
        <v>86</v>
      </c>
      <c r="J25" s="25">
        <v>43449</v>
      </c>
      <c r="K25" s="25">
        <v>46157</v>
      </c>
      <c r="L25" s="13">
        <f ca="1">DATEDIF(J25, TODAY(), "m")</f>
        <v>87</v>
      </c>
      <c r="M25" s="25"/>
      <c r="P25" s="27" t="s">
        <v>87</v>
      </c>
      <c r="Q25" s="12">
        <v>104</v>
      </c>
      <c r="R25" s="21" t="s">
        <v>88</v>
      </c>
      <c r="U25" s="21" t="s">
        <v>89</v>
      </c>
    </row>
    <row r="26" spans="1:23" ht="15.75" customHeight="1" x14ac:dyDescent="0.25">
      <c r="A26" s="20" t="s">
        <v>90</v>
      </c>
      <c r="C26" s="22" t="s">
        <v>81</v>
      </c>
      <c r="D26" s="26" t="s">
        <v>82</v>
      </c>
      <c r="E26" s="20" t="s">
        <v>91</v>
      </c>
      <c r="F26" s="20" t="s">
        <v>84</v>
      </c>
      <c r="G26" s="20" t="s">
        <v>30</v>
      </c>
      <c r="H26" s="20" t="s">
        <v>85</v>
      </c>
      <c r="I26" s="24" t="s">
        <v>86</v>
      </c>
      <c r="J26" s="25">
        <v>43449</v>
      </c>
      <c r="K26" s="25">
        <v>46157</v>
      </c>
      <c r="L26" s="13">
        <f ca="1">DATEDIF(J26, TODAY(), "m")</f>
        <v>87</v>
      </c>
      <c r="M26" s="25"/>
      <c r="N26" s="20"/>
      <c r="P26" s="27" t="s">
        <v>92</v>
      </c>
      <c r="Q26" s="12">
        <v>104</v>
      </c>
      <c r="R26" s="21" t="s">
        <v>88</v>
      </c>
      <c r="U26" s="21" t="s">
        <v>89</v>
      </c>
    </row>
    <row r="27" spans="1:23" ht="15.75" customHeight="1" x14ac:dyDescent="0.25">
      <c r="A27" s="20" t="s">
        <v>93</v>
      </c>
      <c r="C27" s="22" t="s">
        <v>81</v>
      </c>
      <c r="D27" s="26" t="s">
        <v>82</v>
      </c>
      <c r="E27" s="20" t="s">
        <v>94</v>
      </c>
      <c r="F27" s="20" t="s">
        <v>84</v>
      </c>
      <c r="G27" s="20" t="s">
        <v>30</v>
      </c>
      <c r="H27" s="20" t="s">
        <v>85</v>
      </c>
      <c r="I27" s="24" t="s">
        <v>95</v>
      </c>
      <c r="J27" s="25">
        <v>43449</v>
      </c>
      <c r="K27" s="25">
        <v>46157</v>
      </c>
      <c r="L27" s="13">
        <f ca="1">DATEDIF(J27, TODAY(), "m")</f>
        <v>87</v>
      </c>
      <c r="M27" s="25"/>
      <c r="N27" s="20"/>
      <c r="P27" s="27"/>
      <c r="Q27" s="12">
        <v>104</v>
      </c>
      <c r="R27" s="21" t="s">
        <v>88</v>
      </c>
      <c r="U27" s="21" t="s">
        <v>89</v>
      </c>
    </row>
    <row r="28" spans="1:23" ht="15.75" customHeight="1" x14ac:dyDescent="0.25">
      <c r="A28" s="20" t="s">
        <v>96</v>
      </c>
      <c r="B28" s="21" t="s">
        <v>97</v>
      </c>
      <c r="C28" s="22" t="s">
        <v>81</v>
      </c>
      <c r="D28" s="26" t="s">
        <v>98</v>
      </c>
      <c r="E28" s="20" t="s">
        <v>99</v>
      </c>
      <c r="F28" s="20" t="s">
        <v>39</v>
      </c>
      <c r="G28" s="20" t="s">
        <v>30</v>
      </c>
      <c r="H28" s="20" t="s">
        <v>100</v>
      </c>
      <c r="I28" s="24" t="s">
        <v>101</v>
      </c>
      <c r="J28" s="25">
        <v>43910</v>
      </c>
      <c r="K28" s="25">
        <v>45736</v>
      </c>
      <c r="L28" s="13">
        <f ca="1">DATEDIF(J28, TODAY(), "m")</f>
        <v>72</v>
      </c>
      <c r="M28" s="25" t="s">
        <v>102</v>
      </c>
      <c r="N28" s="20"/>
      <c r="O28" s="21" t="s">
        <v>103</v>
      </c>
      <c r="P28" s="27" t="s">
        <v>104</v>
      </c>
      <c r="Q28" s="12">
        <v>104</v>
      </c>
      <c r="R28" s="21" t="s">
        <v>88</v>
      </c>
    </row>
    <row r="29" spans="1:23" ht="15.75" customHeight="1" x14ac:dyDescent="0.25">
      <c r="A29" s="15" t="s">
        <v>105</v>
      </c>
      <c r="B29" s="15" t="s">
        <v>106</v>
      </c>
      <c r="C29" s="22" t="s">
        <v>81</v>
      </c>
      <c r="D29" s="17" t="s">
        <v>98</v>
      </c>
      <c r="E29" s="15" t="s">
        <v>107</v>
      </c>
      <c r="F29" s="15" t="s">
        <v>44</v>
      </c>
      <c r="G29" s="15" t="s">
        <v>30</v>
      </c>
      <c r="H29" s="15" t="s">
        <v>108</v>
      </c>
      <c r="I29" s="15" t="s">
        <v>109</v>
      </c>
      <c r="J29" s="29">
        <v>45036</v>
      </c>
      <c r="K29" s="29">
        <v>46497</v>
      </c>
      <c r="L29" s="13">
        <f ca="1">DATEDIF(J29, TODAY(), "m")</f>
        <v>35</v>
      </c>
      <c r="M29" s="29" t="s">
        <v>110</v>
      </c>
      <c r="N29" s="15"/>
      <c r="O29" s="15" t="s">
        <v>103</v>
      </c>
      <c r="P29" s="15"/>
      <c r="Q29" s="12">
        <v>104</v>
      </c>
      <c r="R29" s="15" t="s">
        <v>88</v>
      </c>
      <c r="S29" s="15"/>
      <c r="T29" s="15"/>
      <c r="U29" s="15"/>
      <c r="V29" s="16" t="s">
        <v>111</v>
      </c>
    </row>
    <row r="30" spans="1:23" ht="15.75" customHeight="1" x14ac:dyDescent="0.25">
      <c r="A30" s="20" t="s">
        <v>112</v>
      </c>
      <c r="B30" s="21" t="s">
        <v>113</v>
      </c>
      <c r="C30" s="22" t="s">
        <v>81</v>
      </c>
      <c r="D30" s="26" t="s">
        <v>98</v>
      </c>
      <c r="E30" s="20" t="s">
        <v>114</v>
      </c>
      <c r="F30" s="20" t="s">
        <v>44</v>
      </c>
      <c r="G30" s="20" t="s">
        <v>30</v>
      </c>
      <c r="H30" s="20" t="s">
        <v>115</v>
      </c>
      <c r="I30" s="24" t="s">
        <v>109</v>
      </c>
      <c r="J30" s="25">
        <v>45138</v>
      </c>
      <c r="K30" s="25">
        <v>46965</v>
      </c>
      <c r="L30" s="13">
        <f ca="1">DATEDIF(J30, TODAY(), "m")</f>
        <v>32</v>
      </c>
      <c r="M30" s="25" t="s">
        <v>116</v>
      </c>
      <c r="N30" s="20"/>
      <c r="O30" s="21" t="s">
        <v>103</v>
      </c>
      <c r="Q30" s="12">
        <v>104</v>
      </c>
      <c r="R30" s="21" t="s">
        <v>88</v>
      </c>
    </row>
    <row r="31" spans="1:23" ht="15.75" customHeight="1" x14ac:dyDescent="0.25">
      <c r="A31" s="21" t="s">
        <v>117</v>
      </c>
      <c r="B31" s="21" t="s">
        <v>118</v>
      </c>
      <c r="C31" s="22" t="s">
        <v>81</v>
      </c>
      <c r="D31" s="23" t="s">
        <v>98</v>
      </c>
      <c r="E31" s="21" t="s">
        <v>119</v>
      </c>
      <c r="F31" s="21" t="s">
        <v>44</v>
      </c>
      <c r="G31" s="21" t="s">
        <v>30</v>
      </c>
      <c r="H31" s="21" t="s">
        <v>115</v>
      </c>
      <c r="I31" s="24" t="s">
        <v>109</v>
      </c>
      <c r="J31" s="25">
        <v>45138</v>
      </c>
      <c r="K31" s="25">
        <v>46965</v>
      </c>
      <c r="L31" s="13">
        <f ca="1">DATEDIF(J31, TODAY(), "m")</f>
        <v>32</v>
      </c>
      <c r="M31" s="25" t="s">
        <v>116</v>
      </c>
      <c r="O31" s="21" t="s">
        <v>103</v>
      </c>
      <c r="Q31" s="12">
        <v>104</v>
      </c>
      <c r="R31" s="21" t="s">
        <v>88</v>
      </c>
    </row>
    <row r="32" spans="1:23" ht="15.75" customHeight="1" x14ac:dyDescent="0.25">
      <c r="A32" s="20" t="s">
        <v>120</v>
      </c>
      <c r="B32" s="21" t="s">
        <v>121</v>
      </c>
      <c r="C32" s="22" t="s">
        <v>81</v>
      </c>
      <c r="D32" s="26" t="s">
        <v>98</v>
      </c>
      <c r="E32" s="20" t="s">
        <v>122</v>
      </c>
      <c r="F32" s="20" t="s">
        <v>44</v>
      </c>
      <c r="G32" s="20" t="s">
        <v>30</v>
      </c>
      <c r="H32" s="20" t="s">
        <v>115</v>
      </c>
      <c r="I32" s="24" t="s">
        <v>109</v>
      </c>
      <c r="J32" s="25">
        <v>45138</v>
      </c>
      <c r="K32" s="25">
        <v>46965</v>
      </c>
      <c r="L32" s="13">
        <f ca="1">DATEDIF(J32, TODAY(), "m")</f>
        <v>32</v>
      </c>
      <c r="M32" s="25" t="s">
        <v>116</v>
      </c>
      <c r="N32" s="20"/>
      <c r="O32" s="21" t="s">
        <v>103</v>
      </c>
      <c r="Q32" s="12">
        <v>104</v>
      </c>
      <c r="R32" s="21" t="s">
        <v>88</v>
      </c>
    </row>
    <row r="33" spans="1:22" ht="15.75" customHeight="1" x14ac:dyDescent="0.25">
      <c r="A33" s="21" t="s">
        <v>123</v>
      </c>
      <c r="B33" s="21" t="s">
        <v>124</v>
      </c>
      <c r="C33" s="22" t="s">
        <v>81</v>
      </c>
      <c r="D33" s="23" t="s">
        <v>98</v>
      </c>
      <c r="E33" s="21" t="s">
        <v>125</v>
      </c>
      <c r="F33" s="21" t="s">
        <v>44</v>
      </c>
      <c r="G33" s="21" t="s">
        <v>30</v>
      </c>
      <c r="H33" s="21" t="s">
        <v>115</v>
      </c>
      <c r="I33" s="24" t="s">
        <v>109</v>
      </c>
      <c r="J33" s="25">
        <v>45138</v>
      </c>
      <c r="K33" s="25">
        <v>46965</v>
      </c>
      <c r="L33" s="13">
        <f ca="1">DATEDIF(J33, TODAY(), "m")</f>
        <v>32</v>
      </c>
      <c r="M33" s="25" t="s">
        <v>116</v>
      </c>
      <c r="O33" s="21" t="s">
        <v>103</v>
      </c>
      <c r="Q33" s="12">
        <v>104</v>
      </c>
      <c r="R33" s="21" t="s">
        <v>88</v>
      </c>
    </row>
    <row r="34" spans="1:22" ht="15.75" customHeight="1" x14ac:dyDescent="0.25">
      <c r="A34" s="20" t="s">
        <v>126</v>
      </c>
      <c r="B34" s="21" t="s">
        <v>127</v>
      </c>
      <c r="C34" s="22" t="s">
        <v>81</v>
      </c>
      <c r="D34" s="26" t="s">
        <v>98</v>
      </c>
      <c r="E34" s="20" t="s">
        <v>128</v>
      </c>
      <c r="F34" s="20" t="s">
        <v>44</v>
      </c>
      <c r="G34" s="20" t="s">
        <v>30</v>
      </c>
      <c r="H34" s="20" t="s">
        <v>115</v>
      </c>
      <c r="I34" s="24" t="s">
        <v>109</v>
      </c>
      <c r="J34" s="25">
        <v>45138</v>
      </c>
      <c r="K34" s="25">
        <v>46965</v>
      </c>
      <c r="L34" s="13">
        <f ca="1">DATEDIF(J34, TODAY(), "m")</f>
        <v>32</v>
      </c>
      <c r="M34" s="25" t="s">
        <v>129</v>
      </c>
      <c r="N34" s="20"/>
      <c r="O34" s="21" t="s">
        <v>103</v>
      </c>
      <c r="Q34" s="12">
        <v>104</v>
      </c>
      <c r="R34" s="21" t="s">
        <v>88</v>
      </c>
    </row>
    <row r="35" spans="1:22" ht="15.75" customHeight="1" x14ac:dyDescent="0.25">
      <c r="A35" s="21" t="s">
        <v>130</v>
      </c>
      <c r="B35" s="21" t="s">
        <v>131</v>
      </c>
      <c r="C35" s="22" t="s">
        <v>81</v>
      </c>
      <c r="D35" s="23" t="s">
        <v>98</v>
      </c>
      <c r="E35" s="21" t="s">
        <v>132</v>
      </c>
      <c r="F35" s="21" t="s">
        <v>44</v>
      </c>
      <c r="G35" s="21" t="s">
        <v>30</v>
      </c>
      <c r="H35" s="21" t="s">
        <v>115</v>
      </c>
      <c r="I35" s="24" t="s">
        <v>109</v>
      </c>
      <c r="J35" s="25">
        <v>45138</v>
      </c>
      <c r="K35" s="25">
        <v>46965</v>
      </c>
      <c r="L35" s="13">
        <f ca="1">DATEDIF(J35, TODAY(), "m")</f>
        <v>32</v>
      </c>
      <c r="M35" s="25" t="s">
        <v>116</v>
      </c>
      <c r="O35" s="21" t="s">
        <v>103</v>
      </c>
      <c r="Q35" s="12">
        <v>104</v>
      </c>
      <c r="R35" s="21" t="s">
        <v>88</v>
      </c>
    </row>
    <row r="36" spans="1:22" ht="15.75" customHeight="1" x14ac:dyDescent="0.25">
      <c r="A36" s="20" t="s">
        <v>133</v>
      </c>
      <c r="B36" s="21" t="s">
        <v>134</v>
      </c>
      <c r="C36" s="22" t="s">
        <v>81</v>
      </c>
      <c r="D36" s="26" t="s">
        <v>98</v>
      </c>
      <c r="E36" s="20" t="s">
        <v>135</v>
      </c>
      <c r="F36" s="20" t="s">
        <v>44</v>
      </c>
      <c r="G36" s="20" t="s">
        <v>30</v>
      </c>
      <c r="H36" s="20" t="s">
        <v>115</v>
      </c>
      <c r="I36" s="24" t="s">
        <v>109</v>
      </c>
      <c r="J36" s="25">
        <v>45138</v>
      </c>
      <c r="K36" s="25">
        <v>46965</v>
      </c>
      <c r="L36" s="13">
        <f ca="1">DATEDIF(J36, TODAY(), "m")</f>
        <v>32</v>
      </c>
      <c r="M36" s="25" t="s">
        <v>116</v>
      </c>
      <c r="N36" s="20"/>
      <c r="O36" s="21" t="s">
        <v>103</v>
      </c>
      <c r="Q36" s="12">
        <v>104</v>
      </c>
      <c r="R36" s="21" t="s">
        <v>88</v>
      </c>
    </row>
    <row r="37" spans="1:22" ht="15.75" customHeight="1" x14ac:dyDescent="0.25">
      <c r="A37" s="21" t="s">
        <v>136</v>
      </c>
      <c r="B37" s="21" t="s">
        <v>137</v>
      </c>
      <c r="C37" s="22" t="s">
        <v>81</v>
      </c>
      <c r="D37" s="23" t="s">
        <v>98</v>
      </c>
      <c r="E37" s="21" t="s">
        <v>138</v>
      </c>
      <c r="F37" s="21" t="s">
        <v>44</v>
      </c>
      <c r="G37" s="21" t="s">
        <v>30</v>
      </c>
      <c r="H37" s="21" t="s">
        <v>115</v>
      </c>
      <c r="I37" s="24" t="s">
        <v>109</v>
      </c>
      <c r="J37" s="25">
        <v>45138</v>
      </c>
      <c r="K37" s="25">
        <v>46965</v>
      </c>
      <c r="L37" s="13">
        <f ca="1">DATEDIF(J37, TODAY(), "m")</f>
        <v>32</v>
      </c>
      <c r="M37" s="25" t="s">
        <v>116</v>
      </c>
      <c r="O37" s="21" t="s">
        <v>103</v>
      </c>
      <c r="Q37" s="12">
        <v>104</v>
      </c>
      <c r="R37" s="21" t="s">
        <v>88</v>
      </c>
    </row>
    <row r="38" spans="1:22" ht="15.75" customHeight="1" x14ac:dyDescent="0.25">
      <c r="A38" s="20" t="s">
        <v>139</v>
      </c>
      <c r="B38" s="21" t="s">
        <v>140</v>
      </c>
      <c r="C38" s="22" t="s">
        <v>81</v>
      </c>
      <c r="D38" s="26" t="s">
        <v>98</v>
      </c>
      <c r="E38" s="20" t="s">
        <v>141</v>
      </c>
      <c r="F38" s="20" t="s">
        <v>44</v>
      </c>
      <c r="G38" s="20" t="s">
        <v>30</v>
      </c>
      <c r="H38" s="20" t="s">
        <v>115</v>
      </c>
      <c r="I38" s="24" t="s">
        <v>109</v>
      </c>
      <c r="J38" s="25">
        <v>45138</v>
      </c>
      <c r="K38" s="25">
        <v>46965</v>
      </c>
      <c r="L38" s="13">
        <f ca="1">DATEDIF(J38, TODAY(), "m")</f>
        <v>32</v>
      </c>
      <c r="M38" s="25" t="s">
        <v>116</v>
      </c>
      <c r="N38" s="20"/>
      <c r="O38" s="21" t="s">
        <v>103</v>
      </c>
      <c r="Q38" s="12">
        <v>104</v>
      </c>
      <c r="R38" s="21" t="s">
        <v>88</v>
      </c>
    </row>
    <row r="39" spans="1:22" ht="15.75" customHeight="1" x14ac:dyDescent="0.25">
      <c r="A39" s="21" t="s">
        <v>142</v>
      </c>
      <c r="B39" s="21" t="s">
        <v>143</v>
      </c>
      <c r="C39" s="22" t="s">
        <v>81</v>
      </c>
      <c r="D39" s="23" t="s">
        <v>98</v>
      </c>
      <c r="E39" s="21" t="s">
        <v>144</v>
      </c>
      <c r="F39" s="21" t="s">
        <v>44</v>
      </c>
      <c r="G39" s="21" t="s">
        <v>30</v>
      </c>
      <c r="H39" s="21" t="s">
        <v>115</v>
      </c>
      <c r="I39" s="24" t="s">
        <v>109</v>
      </c>
      <c r="J39" s="25">
        <v>45138</v>
      </c>
      <c r="K39" s="25">
        <v>46965</v>
      </c>
      <c r="L39" s="13">
        <f ca="1">DATEDIF(J39, TODAY(), "m")</f>
        <v>32</v>
      </c>
      <c r="M39" s="25" t="s">
        <v>129</v>
      </c>
      <c r="O39" s="21" t="s">
        <v>103</v>
      </c>
      <c r="Q39" s="12">
        <v>104</v>
      </c>
      <c r="R39" s="21" t="s">
        <v>88</v>
      </c>
    </row>
    <row r="40" spans="1:22" ht="15.75" customHeight="1" x14ac:dyDescent="0.25">
      <c r="A40" s="20" t="s">
        <v>145</v>
      </c>
      <c r="B40" s="21" t="s">
        <v>146</v>
      </c>
      <c r="C40" s="22" t="s">
        <v>81</v>
      </c>
      <c r="D40" s="23" t="s">
        <v>98</v>
      </c>
      <c r="E40" s="20" t="s">
        <v>147</v>
      </c>
      <c r="F40" s="20" t="s">
        <v>148</v>
      </c>
      <c r="G40" s="20" t="s">
        <v>30</v>
      </c>
      <c r="H40" s="20" t="s">
        <v>115</v>
      </c>
      <c r="I40" s="24" t="s">
        <v>109</v>
      </c>
      <c r="J40" s="25">
        <v>45380</v>
      </c>
      <c r="K40" s="25">
        <v>47206</v>
      </c>
      <c r="L40" s="13">
        <f ca="1">DATEDIF(J40, TODAY(), "m")</f>
        <v>24</v>
      </c>
      <c r="M40" s="25" t="s">
        <v>102</v>
      </c>
      <c r="N40" s="20"/>
      <c r="O40" s="21" t="s">
        <v>103</v>
      </c>
      <c r="Q40" s="12">
        <v>104</v>
      </c>
      <c r="R40" s="21" t="s">
        <v>88</v>
      </c>
    </row>
    <row r="41" spans="1:22" ht="15.75" customHeight="1" x14ac:dyDescent="0.25">
      <c r="A41" s="21" t="s">
        <v>149</v>
      </c>
      <c r="B41" s="21" t="s">
        <v>150</v>
      </c>
      <c r="C41" s="22" t="s">
        <v>81</v>
      </c>
      <c r="D41" s="23" t="s">
        <v>98</v>
      </c>
      <c r="E41" s="21" t="s">
        <v>151</v>
      </c>
      <c r="F41" s="21" t="s">
        <v>148</v>
      </c>
      <c r="G41" s="21" t="s">
        <v>30</v>
      </c>
      <c r="H41" s="21" t="s">
        <v>115</v>
      </c>
      <c r="I41" s="24" t="s">
        <v>109</v>
      </c>
      <c r="J41" s="25">
        <v>45380</v>
      </c>
      <c r="K41" s="25">
        <v>47206</v>
      </c>
      <c r="L41" s="13">
        <f ca="1">DATEDIF(J41, TODAY(), "m")</f>
        <v>24</v>
      </c>
      <c r="M41" s="25" t="s">
        <v>102</v>
      </c>
      <c r="O41" s="21" t="s">
        <v>103</v>
      </c>
      <c r="Q41" s="12">
        <v>104</v>
      </c>
      <c r="R41" s="21" t="s">
        <v>88</v>
      </c>
    </row>
    <row r="42" spans="1:22" ht="15.75" customHeight="1" x14ac:dyDescent="0.25">
      <c r="A42" s="20" t="s">
        <v>152</v>
      </c>
      <c r="B42" s="21" t="s">
        <v>153</v>
      </c>
      <c r="C42" s="22" t="s">
        <v>81</v>
      </c>
      <c r="D42" s="23" t="s">
        <v>98</v>
      </c>
      <c r="E42" s="20" t="s">
        <v>154</v>
      </c>
      <c r="F42" s="20" t="s">
        <v>148</v>
      </c>
      <c r="G42" s="20" t="s">
        <v>30</v>
      </c>
      <c r="H42" s="20" t="s">
        <v>115</v>
      </c>
      <c r="I42" s="24" t="s">
        <v>109</v>
      </c>
      <c r="J42" s="25">
        <v>45380</v>
      </c>
      <c r="K42" s="25">
        <v>47206</v>
      </c>
      <c r="L42" s="13">
        <f ca="1">DATEDIF(J42, TODAY(), "m")</f>
        <v>24</v>
      </c>
      <c r="M42" s="25" t="s">
        <v>102</v>
      </c>
      <c r="N42" s="20"/>
      <c r="O42" s="21" t="s">
        <v>103</v>
      </c>
      <c r="Q42" s="12">
        <v>104</v>
      </c>
      <c r="R42" s="21" t="s">
        <v>88</v>
      </c>
    </row>
    <row r="43" spans="1:22" ht="15.75" customHeight="1" x14ac:dyDescent="0.25">
      <c r="A43" s="21" t="s">
        <v>155</v>
      </c>
      <c r="B43" s="21" t="s">
        <v>156</v>
      </c>
      <c r="C43" s="22" t="s">
        <v>81</v>
      </c>
      <c r="D43" s="23" t="s">
        <v>98</v>
      </c>
      <c r="E43" s="21" t="s">
        <v>157</v>
      </c>
      <c r="F43" s="21" t="s">
        <v>148</v>
      </c>
      <c r="G43" s="21" t="s">
        <v>30</v>
      </c>
      <c r="H43" s="21" t="s">
        <v>115</v>
      </c>
      <c r="I43" s="24" t="s">
        <v>109</v>
      </c>
      <c r="J43" s="25">
        <v>45380</v>
      </c>
      <c r="K43" s="25">
        <v>47206</v>
      </c>
      <c r="L43" s="13">
        <f ca="1">DATEDIF(J43, TODAY(), "m")</f>
        <v>24</v>
      </c>
      <c r="M43" s="25" t="s">
        <v>102</v>
      </c>
      <c r="O43" s="21" t="s">
        <v>103</v>
      </c>
      <c r="Q43" s="12">
        <v>104</v>
      </c>
      <c r="R43" s="21" t="s">
        <v>88</v>
      </c>
    </row>
    <row r="44" spans="1:22" ht="15.75" customHeight="1" x14ac:dyDescent="0.25">
      <c r="A44" s="20" t="s">
        <v>158</v>
      </c>
      <c r="B44" s="21" t="s">
        <v>159</v>
      </c>
      <c r="C44" s="22" t="s">
        <v>81</v>
      </c>
      <c r="D44" s="23" t="s">
        <v>98</v>
      </c>
      <c r="E44" s="20" t="s">
        <v>160</v>
      </c>
      <c r="F44" s="20" t="s">
        <v>148</v>
      </c>
      <c r="G44" s="20" t="s">
        <v>30</v>
      </c>
      <c r="H44" s="20" t="s">
        <v>115</v>
      </c>
      <c r="I44" s="24" t="s">
        <v>109</v>
      </c>
      <c r="J44" s="25">
        <v>45380</v>
      </c>
      <c r="K44" s="25">
        <v>47206</v>
      </c>
      <c r="L44" s="13">
        <f ca="1">DATEDIF(J44, TODAY(), "m")</f>
        <v>24</v>
      </c>
      <c r="M44" s="25" t="s">
        <v>102</v>
      </c>
      <c r="N44" s="20"/>
      <c r="O44" s="21" t="s">
        <v>103</v>
      </c>
      <c r="Q44" s="12">
        <v>104</v>
      </c>
      <c r="R44" s="21" t="s">
        <v>88</v>
      </c>
    </row>
    <row r="45" spans="1:22" ht="15.75" customHeight="1" x14ac:dyDescent="0.25">
      <c r="A45" s="21" t="s">
        <v>161</v>
      </c>
      <c r="B45" s="21" t="s">
        <v>162</v>
      </c>
      <c r="C45" s="22" t="s">
        <v>81</v>
      </c>
      <c r="D45" s="23" t="s">
        <v>98</v>
      </c>
      <c r="E45" s="21" t="s">
        <v>163</v>
      </c>
      <c r="F45" s="21" t="s">
        <v>44</v>
      </c>
      <c r="G45" s="21" t="s">
        <v>30</v>
      </c>
      <c r="H45" s="21" t="s">
        <v>115</v>
      </c>
      <c r="I45" s="24" t="s">
        <v>109</v>
      </c>
      <c r="J45" s="25">
        <v>45351</v>
      </c>
      <c r="K45" s="25">
        <v>47177</v>
      </c>
      <c r="L45" s="13">
        <f ca="1">DATEDIF(J45, TODAY(), "m")</f>
        <v>25</v>
      </c>
      <c r="M45" s="25"/>
      <c r="O45" s="21" t="s">
        <v>103</v>
      </c>
      <c r="Q45" s="12">
        <v>104</v>
      </c>
      <c r="R45" s="21" t="s">
        <v>88</v>
      </c>
      <c r="V45" s="22" t="s">
        <v>164</v>
      </c>
    </row>
    <row r="46" spans="1:22" ht="15.75" customHeight="1" x14ac:dyDescent="0.25">
      <c r="A46" s="20" t="s">
        <v>165</v>
      </c>
      <c r="B46" s="21" t="s">
        <v>166</v>
      </c>
      <c r="C46" s="22" t="s">
        <v>81</v>
      </c>
      <c r="D46" s="23" t="s">
        <v>98</v>
      </c>
      <c r="E46" s="20" t="s">
        <v>167</v>
      </c>
      <c r="F46" s="20" t="s">
        <v>44</v>
      </c>
      <c r="G46" s="20" t="s">
        <v>30</v>
      </c>
      <c r="H46" s="20" t="s">
        <v>115</v>
      </c>
      <c r="I46" s="24" t="s">
        <v>109</v>
      </c>
      <c r="J46" s="25">
        <v>45351</v>
      </c>
      <c r="K46" s="25">
        <v>47177</v>
      </c>
      <c r="L46" s="13">
        <f ca="1">DATEDIF(J46, TODAY(), "m")</f>
        <v>25</v>
      </c>
      <c r="M46" s="25" t="s">
        <v>116</v>
      </c>
      <c r="N46" s="20"/>
      <c r="O46" s="21" t="s">
        <v>103</v>
      </c>
      <c r="Q46" s="12">
        <v>104</v>
      </c>
      <c r="R46" s="21" t="s">
        <v>88</v>
      </c>
    </row>
    <row r="47" spans="1:22" ht="15.75" customHeight="1" x14ac:dyDescent="0.25">
      <c r="A47" s="21" t="s">
        <v>168</v>
      </c>
      <c r="B47" s="21" t="s">
        <v>169</v>
      </c>
      <c r="C47" s="22" t="s">
        <v>81</v>
      </c>
      <c r="D47" s="23" t="s">
        <v>98</v>
      </c>
      <c r="E47" s="21" t="s">
        <v>170</v>
      </c>
      <c r="F47" s="21" t="s">
        <v>44</v>
      </c>
      <c r="G47" s="21" t="s">
        <v>30</v>
      </c>
      <c r="H47" s="21" t="s">
        <v>115</v>
      </c>
      <c r="I47" s="24" t="s">
        <v>171</v>
      </c>
      <c r="J47" s="25">
        <v>45351</v>
      </c>
      <c r="K47" s="25">
        <v>47177</v>
      </c>
      <c r="L47" s="13">
        <f ca="1">DATEDIF(J47, TODAY(), "m")</f>
        <v>25</v>
      </c>
      <c r="M47" s="25" t="s">
        <v>116</v>
      </c>
      <c r="O47" s="21" t="s">
        <v>103</v>
      </c>
      <c r="Q47" s="12">
        <v>104</v>
      </c>
      <c r="R47" s="21" t="s">
        <v>88</v>
      </c>
    </row>
    <row r="48" spans="1:22" ht="15.75" customHeight="1" x14ac:dyDescent="0.25">
      <c r="A48" s="20" t="s">
        <v>172</v>
      </c>
      <c r="B48" s="21" t="s">
        <v>173</v>
      </c>
      <c r="C48" s="22" t="s">
        <v>81</v>
      </c>
      <c r="D48" s="23" t="s">
        <v>98</v>
      </c>
      <c r="E48" s="20" t="s">
        <v>174</v>
      </c>
      <c r="F48" s="20" t="s">
        <v>44</v>
      </c>
      <c r="G48" s="20" t="s">
        <v>30</v>
      </c>
      <c r="H48" s="20" t="s">
        <v>115</v>
      </c>
      <c r="I48" s="24" t="s">
        <v>109</v>
      </c>
      <c r="J48" s="25">
        <v>45351</v>
      </c>
      <c r="K48" s="25">
        <v>47177</v>
      </c>
      <c r="L48" s="13">
        <f ca="1">DATEDIF(J48, TODAY(), "m")</f>
        <v>25</v>
      </c>
      <c r="M48" s="25" t="s">
        <v>116</v>
      </c>
      <c r="N48" s="20"/>
      <c r="O48" s="21" t="s">
        <v>103</v>
      </c>
      <c r="Q48" s="12">
        <v>104</v>
      </c>
      <c r="R48" s="21" t="s">
        <v>88</v>
      </c>
    </row>
    <row r="49" spans="1:22" ht="15.75" customHeight="1" x14ac:dyDescent="0.25">
      <c r="A49" s="21" t="s">
        <v>175</v>
      </c>
      <c r="B49" s="21" t="s">
        <v>176</v>
      </c>
      <c r="C49" s="22" t="s">
        <v>81</v>
      </c>
      <c r="D49" s="23" t="s">
        <v>98</v>
      </c>
      <c r="E49" s="21" t="s">
        <v>177</v>
      </c>
      <c r="F49" s="21" t="s">
        <v>44</v>
      </c>
      <c r="G49" s="21" t="s">
        <v>30</v>
      </c>
      <c r="H49" s="21" t="s">
        <v>115</v>
      </c>
      <c r="I49" s="24" t="s">
        <v>171</v>
      </c>
      <c r="J49" s="25">
        <v>45351</v>
      </c>
      <c r="K49" s="25">
        <v>47177</v>
      </c>
      <c r="L49" s="13">
        <f ca="1">DATEDIF(J49, TODAY(), "m")</f>
        <v>25</v>
      </c>
      <c r="M49" s="25" t="s">
        <v>116</v>
      </c>
      <c r="O49" s="21" t="s">
        <v>103</v>
      </c>
      <c r="Q49" s="12">
        <v>104</v>
      </c>
      <c r="R49" s="21" t="s">
        <v>88</v>
      </c>
    </row>
    <row r="50" spans="1:22" ht="15.75" customHeight="1" x14ac:dyDescent="0.25">
      <c r="A50" s="20" t="s">
        <v>178</v>
      </c>
      <c r="C50" s="22" t="s">
        <v>81</v>
      </c>
      <c r="D50" s="26" t="s">
        <v>179</v>
      </c>
      <c r="E50" s="28" t="s">
        <v>180</v>
      </c>
      <c r="F50" s="20">
        <v>2025</v>
      </c>
      <c r="G50" s="20" t="s">
        <v>30</v>
      </c>
      <c r="H50" s="20">
        <v>567</v>
      </c>
      <c r="I50" s="24" t="s">
        <v>181</v>
      </c>
      <c r="J50" s="25">
        <v>45519</v>
      </c>
      <c r="K50" s="25">
        <v>47710</v>
      </c>
      <c r="L50" s="13">
        <f ca="1">DATEDIF(J50, TODAY(), "m")</f>
        <v>19</v>
      </c>
      <c r="M50" s="25"/>
      <c r="N50" s="20"/>
      <c r="Q50" s="12">
        <v>104</v>
      </c>
      <c r="R50" s="21" t="s">
        <v>88</v>
      </c>
    </row>
    <row r="51" spans="1:22" ht="15.75" customHeight="1" x14ac:dyDescent="0.25">
      <c r="A51" s="20" t="s">
        <v>182</v>
      </c>
      <c r="C51" s="22" t="s">
        <v>81</v>
      </c>
      <c r="D51" s="26" t="s">
        <v>179</v>
      </c>
      <c r="E51" s="28" t="s">
        <v>183</v>
      </c>
      <c r="F51" s="20">
        <v>2025</v>
      </c>
      <c r="G51" s="20" t="s">
        <v>30</v>
      </c>
      <c r="H51" s="20">
        <v>567</v>
      </c>
      <c r="I51" s="24" t="s">
        <v>181</v>
      </c>
      <c r="J51" s="25">
        <v>45519</v>
      </c>
      <c r="K51" s="25">
        <v>47710</v>
      </c>
      <c r="L51" s="13">
        <f ca="1">DATEDIF(J51, TODAY(), "m")</f>
        <v>19</v>
      </c>
      <c r="M51" s="25"/>
      <c r="N51" s="20"/>
      <c r="Q51" s="12">
        <v>104</v>
      </c>
      <c r="R51" s="21" t="s">
        <v>88</v>
      </c>
    </row>
    <row r="52" spans="1:22" ht="15.75" customHeight="1" x14ac:dyDescent="0.25">
      <c r="A52" s="20" t="s">
        <v>184</v>
      </c>
      <c r="C52" s="22" t="s">
        <v>81</v>
      </c>
      <c r="D52" s="26" t="s">
        <v>179</v>
      </c>
      <c r="E52" s="27" t="s">
        <v>185</v>
      </c>
      <c r="F52" s="20">
        <v>2025</v>
      </c>
      <c r="G52" s="20" t="s">
        <v>30</v>
      </c>
      <c r="H52" s="20">
        <v>567</v>
      </c>
      <c r="I52" s="24" t="s">
        <v>181</v>
      </c>
      <c r="J52" s="25">
        <v>45519</v>
      </c>
      <c r="K52" s="25">
        <v>47710</v>
      </c>
      <c r="L52" s="13">
        <f ca="1">DATEDIF(J52, TODAY(), "m")</f>
        <v>19</v>
      </c>
      <c r="M52" s="25"/>
      <c r="N52" s="20"/>
      <c r="Q52" s="12">
        <v>104</v>
      </c>
      <c r="R52" s="21" t="s">
        <v>88</v>
      </c>
    </row>
    <row r="53" spans="1:22" ht="15.75" customHeight="1" x14ac:dyDescent="0.25">
      <c r="A53" s="20" t="s">
        <v>186</v>
      </c>
      <c r="C53" s="22" t="s">
        <v>81</v>
      </c>
      <c r="D53" s="26" t="s">
        <v>82</v>
      </c>
      <c r="E53" s="27" t="s">
        <v>187</v>
      </c>
      <c r="F53" s="20">
        <v>2025</v>
      </c>
      <c r="G53" s="20" t="s">
        <v>30</v>
      </c>
      <c r="H53" s="20">
        <v>536</v>
      </c>
      <c r="I53" s="24" t="s">
        <v>188</v>
      </c>
      <c r="J53" s="25">
        <v>45626</v>
      </c>
      <c r="K53" s="25">
        <v>48182</v>
      </c>
      <c r="L53" s="13">
        <f ca="1">DATEDIF(J53, TODAY(), "m")</f>
        <v>16</v>
      </c>
      <c r="M53" s="25"/>
      <c r="N53" s="20"/>
      <c r="P53" s="27"/>
      <c r="Q53" s="12">
        <v>104</v>
      </c>
      <c r="R53" s="21" t="s">
        <v>88</v>
      </c>
      <c r="U53" s="21" t="s">
        <v>89</v>
      </c>
    </row>
    <row r="54" spans="1:22" ht="15.75" customHeight="1" x14ac:dyDescent="0.25">
      <c r="A54" s="20" t="s">
        <v>189</v>
      </c>
      <c r="B54" s="21" t="s">
        <v>190</v>
      </c>
      <c r="C54" s="22" t="s">
        <v>81</v>
      </c>
      <c r="D54" s="26" t="s">
        <v>98</v>
      </c>
      <c r="E54" s="27" t="s">
        <v>191</v>
      </c>
      <c r="F54" s="20">
        <v>2026</v>
      </c>
      <c r="G54" s="20" t="s">
        <v>30</v>
      </c>
      <c r="H54" s="20"/>
      <c r="I54" s="24" t="s">
        <v>171</v>
      </c>
      <c r="J54" s="25"/>
      <c r="K54" s="25"/>
      <c r="L54" s="13">
        <f ca="1">DATEDIF(J54, TODAY(), "m")</f>
        <v>1515</v>
      </c>
      <c r="M54" s="25" t="s">
        <v>192</v>
      </c>
      <c r="N54" s="20"/>
      <c r="P54" s="27"/>
      <c r="Q54" s="12">
        <v>104</v>
      </c>
    </row>
    <row r="55" spans="1:22" ht="15.75" customHeight="1" x14ac:dyDescent="0.25">
      <c r="A55" s="20" t="s">
        <v>193</v>
      </c>
      <c r="C55" s="22" t="s">
        <v>81</v>
      </c>
      <c r="D55" s="26" t="s">
        <v>194</v>
      </c>
      <c r="E55" s="20" t="s">
        <v>195</v>
      </c>
      <c r="F55" s="20" t="s">
        <v>84</v>
      </c>
      <c r="G55" s="20" t="s">
        <v>30</v>
      </c>
      <c r="H55" s="20" t="s">
        <v>31</v>
      </c>
      <c r="I55" s="24" t="s">
        <v>109</v>
      </c>
      <c r="J55" s="25">
        <v>43413</v>
      </c>
      <c r="K55" s="25">
        <v>45970</v>
      </c>
      <c r="L55" s="13">
        <f ca="1">DATEDIF(J55, TODAY(), "m")</f>
        <v>88</v>
      </c>
      <c r="M55" s="25"/>
      <c r="N55" s="20" t="s">
        <v>196</v>
      </c>
      <c r="P55" s="27" t="s">
        <v>197</v>
      </c>
      <c r="Q55" s="12">
        <v>104</v>
      </c>
    </row>
    <row r="56" spans="1:22" ht="15.75" customHeight="1" x14ac:dyDescent="0.25">
      <c r="A56" s="20" t="s">
        <v>198</v>
      </c>
      <c r="C56" s="9" t="s">
        <v>23</v>
      </c>
      <c r="D56" s="26" t="s">
        <v>24</v>
      </c>
      <c r="E56" s="20" t="s">
        <v>199</v>
      </c>
      <c r="F56" s="20" t="s">
        <v>29</v>
      </c>
      <c r="G56" s="20" t="s">
        <v>30</v>
      </c>
      <c r="H56" s="20" t="s">
        <v>115</v>
      </c>
      <c r="I56" s="24" t="s">
        <v>171</v>
      </c>
      <c r="L56" s="13">
        <f ca="1">DATEDIF(J56, TODAY(), "m")</f>
        <v>1515</v>
      </c>
      <c r="N56" s="20"/>
      <c r="P56" s="27" t="s">
        <v>200</v>
      </c>
      <c r="Q56" s="12">
        <v>104</v>
      </c>
    </row>
    <row r="57" spans="1:22" ht="15.75" customHeight="1" x14ac:dyDescent="0.25">
      <c r="A57" s="21" t="s">
        <v>201</v>
      </c>
      <c r="B57" s="21" t="s">
        <v>202</v>
      </c>
      <c r="C57" s="22" t="s">
        <v>81</v>
      </c>
      <c r="D57" s="23" t="s">
        <v>203</v>
      </c>
      <c r="E57" s="21" t="s">
        <v>204</v>
      </c>
      <c r="F57" s="21" t="s">
        <v>205</v>
      </c>
      <c r="G57" s="21" t="s">
        <v>30</v>
      </c>
      <c r="H57" s="21" t="s">
        <v>115</v>
      </c>
      <c r="I57" s="24" t="s">
        <v>171</v>
      </c>
      <c r="J57" s="25">
        <v>44710</v>
      </c>
      <c r="K57" s="25">
        <v>46171</v>
      </c>
      <c r="L57" s="13">
        <f ca="1">DATEDIF(J57, TODAY(), "m")</f>
        <v>46</v>
      </c>
      <c r="M57" s="25"/>
      <c r="Q57" s="12">
        <v>104</v>
      </c>
      <c r="R57" s="21" t="s">
        <v>88</v>
      </c>
    </row>
    <row r="58" spans="1:22" ht="15.75" customHeight="1" x14ac:dyDescent="0.25">
      <c r="A58" s="20" t="s">
        <v>206</v>
      </c>
      <c r="C58" s="22" t="s">
        <v>81</v>
      </c>
      <c r="D58" s="26" t="s">
        <v>207</v>
      </c>
      <c r="E58" s="20" t="s">
        <v>208</v>
      </c>
      <c r="F58" s="20" t="s">
        <v>44</v>
      </c>
      <c r="G58" s="20" t="s">
        <v>30</v>
      </c>
      <c r="H58" s="20" t="s">
        <v>209</v>
      </c>
      <c r="I58" s="24" t="s">
        <v>171</v>
      </c>
      <c r="J58" s="25">
        <v>45104</v>
      </c>
      <c r="K58" s="25">
        <v>46992</v>
      </c>
      <c r="L58" s="13">
        <f ca="1">DATEDIF(J58, TODAY(), "m")</f>
        <v>33</v>
      </c>
      <c r="M58" s="25"/>
      <c r="N58" s="20"/>
      <c r="Q58" s="12">
        <v>104</v>
      </c>
    </row>
    <row r="59" spans="1:22" ht="15.75" customHeight="1" x14ac:dyDescent="0.25">
      <c r="A59" s="21" t="s">
        <v>210</v>
      </c>
      <c r="B59" s="21" t="s">
        <v>211</v>
      </c>
      <c r="C59" s="22" t="s">
        <v>81</v>
      </c>
      <c r="D59" s="23" t="s">
        <v>203</v>
      </c>
      <c r="E59" s="21" t="s">
        <v>212</v>
      </c>
      <c r="F59" s="21" t="s">
        <v>205</v>
      </c>
      <c r="G59" s="21" t="s">
        <v>30</v>
      </c>
      <c r="H59" s="21" t="s">
        <v>115</v>
      </c>
      <c r="I59" s="24" t="s">
        <v>171</v>
      </c>
      <c r="J59" s="25">
        <v>44866</v>
      </c>
      <c r="K59" s="25">
        <v>46327</v>
      </c>
      <c r="L59" s="13">
        <f ca="1">DATEDIF(J59, TODAY(), "m")</f>
        <v>41</v>
      </c>
      <c r="M59" s="25"/>
      <c r="Q59" s="12">
        <v>104</v>
      </c>
      <c r="R59" s="21" t="s">
        <v>88</v>
      </c>
    </row>
    <row r="60" spans="1:22" ht="15.75" customHeight="1" x14ac:dyDescent="0.25">
      <c r="A60" s="20" t="s">
        <v>213</v>
      </c>
      <c r="B60" s="21" t="s">
        <v>214</v>
      </c>
      <c r="C60" s="22" t="s">
        <v>81</v>
      </c>
      <c r="D60" s="26" t="s">
        <v>203</v>
      </c>
      <c r="E60" s="20" t="s">
        <v>215</v>
      </c>
      <c r="F60" s="20" t="s">
        <v>205</v>
      </c>
      <c r="G60" s="20" t="s">
        <v>30</v>
      </c>
      <c r="H60" s="20" t="s">
        <v>115</v>
      </c>
      <c r="I60" s="24" t="s">
        <v>171</v>
      </c>
      <c r="J60" s="25">
        <v>44866</v>
      </c>
      <c r="K60" s="25">
        <v>46692</v>
      </c>
      <c r="L60" s="13">
        <f ca="1">DATEDIF(J60, TODAY(), "m")</f>
        <v>41</v>
      </c>
      <c r="M60" s="25"/>
      <c r="N60" s="20"/>
      <c r="Q60" s="12">
        <v>104</v>
      </c>
      <c r="R60" s="21" t="s">
        <v>88</v>
      </c>
    </row>
    <row r="61" spans="1:22" ht="15.75" customHeight="1" x14ac:dyDescent="0.25">
      <c r="A61" s="30" t="s">
        <v>216</v>
      </c>
      <c r="C61" s="22" t="s">
        <v>81</v>
      </c>
      <c r="D61" s="23" t="s">
        <v>207</v>
      </c>
      <c r="E61" s="31" t="s">
        <v>217</v>
      </c>
      <c r="F61" s="31" t="s">
        <v>44</v>
      </c>
      <c r="G61" s="21" t="s">
        <v>30</v>
      </c>
      <c r="H61" s="21" t="s">
        <v>209</v>
      </c>
      <c r="I61" s="24" t="s">
        <v>171</v>
      </c>
      <c r="J61" s="25">
        <v>45105</v>
      </c>
      <c r="K61" s="25">
        <v>46993</v>
      </c>
      <c r="L61" s="13">
        <f ca="1">DATEDIF(J61, TODAY(), "m")</f>
        <v>33</v>
      </c>
      <c r="M61" s="25"/>
      <c r="Q61" s="12">
        <v>104</v>
      </c>
      <c r="V61" s="32" t="s">
        <v>218</v>
      </c>
    </row>
    <row r="62" spans="1:22" ht="15.75" customHeight="1" x14ac:dyDescent="0.25">
      <c r="A62" s="20" t="s">
        <v>219</v>
      </c>
      <c r="C62" s="22" t="s">
        <v>81</v>
      </c>
      <c r="D62" s="26" t="s">
        <v>207</v>
      </c>
      <c r="E62" s="20" t="s">
        <v>220</v>
      </c>
      <c r="F62" s="20" t="s">
        <v>44</v>
      </c>
      <c r="G62" s="20" t="s">
        <v>30</v>
      </c>
      <c r="H62" s="20" t="s">
        <v>100</v>
      </c>
      <c r="I62" s="24" t="s">
        <v>171</v>
      </c>
      <c r="J62" s="25">
        <v>45104</v>
      </c>
      <c r="K62" s="25">
        <v>46992</v>
      </c>
      <c r="L62" s="13">
        <f ca="1">DATEDIF(J62, TODAY(), "m")</f>
        <v>33</v>
      </c>
      <c r="M62" s="25"/>
      <c r="N62" s="20"/>
      <c r="Q62" s="12">
        <v>104</v>
      </c>
    </row>
    <row r="63" spans="1:22" ht="15.75" customHeight="1" x14ac:dyDescent="0.25">
      <c r="A63" s="21" t="s">
        <v>221</v>
      </c>
      <c r="C63" s="22" t="s">
        <v>81</v>
      </c>
      <c r="D63" s="23" t="s">
        <v>207</v>
      </c>
      <c r="E63" s="21" t="s">
        <v>222</v>
      </c>
      <c r="F63" s="21" t="s">
        <v>44</v>
      </c>
      <c r="G63" s="21" t="s">
        <v>30</v>
      </c>
      <c r="H63" s="21" t="s">
        <v>100</v>
      </c>
      <c r="I63" s="24" t="s">
        <v>171</v>
      </c>
      <c r="J63" s="25">
        <v>45104</v>
      </c>
      <c r="K63" s="25">
        <v>46992</v>
      </c>
      <c r="L63" s="13">
        <f ca="1">DATEDIF(J63, TODAY(), "m")</f>
        <v>33</v>
      </c>
      <c r="M63" s="25"/>
      <c r="Q63" s="12">
        <v>104</v>
      </c>
    </row>
    <row r="64" spans="1:22" ht="15.75" customHeight="1" x14ac:dyDescent="0.25">
      <c r="A64" s="20" t="s">
        <v>223</v>
      </c>
      <c r="B64" s="21" t="s">
        <v>224</v>
      </c>
      <c r="C64" s="22" t="s">
        <v>81</v>
      </c>
      <c r="D64" s="26" t="s">
        <v>203</v>
      </c>
      <c r="E64" s="20" t="s">
        <v>225</v>
      </c>
      <c r="F64" s="20" t="s">
        <v>44</v>
      </c>
      <c r="G64" s="20" t="s">
        <v>30</v>
      </c>
      <c r="H64" s="20" t="s">
        <v>115</v>
      </c>
      <c r="I64" s="24" t="s">
        <v>109</v>
      </c>
      <c r="J64" s="25">
        <v>45047</v>
      </c>
      <c r="K64" s="25">
        <v>47239</v>
      </c>
      <c r="L64" s="13">
        <f ca="1">DATEDIF(J64, TODAY(), "m")</f>
        <v>35</v>
      </c>
      <c r="M64" s="25"/>
      <c r="N64" s="20"/>
      <c r="Q64" s="12">
        <v>104</v>
      </c>
      <c r="R64" s="21" t="s">
        <v>88</v>
      </c>
    </row>
    <row r="65" spans="1:18" ht="15.75" customHeight="1" x14ac:dyDescent="0.25">
      <c r="A65" s="21" t="s">
        <v>226</v>
      </c>
      <c r="B65" s="21" t="s">
        <v>227</v>
      </c>
      <c r="C65" s="22" t="s">
        <v>81</v>
      </c>
      <c r="D65" s="23" t="s">
        <v>203</v>
      </c>
      <c r="E65" s="21" t="s">
        <v>228</v>
      </c>
      <c r="F65" s="21" t="s">
        <v>44</v>
      </c>
      <c r="G65" s="21" t="s">
        <v>30</v>
      </c>
      <c r="H65" s="21" t="s">
        <v>115</v>
      </c>
      <c r="I65" s="24" t="s">
        <v>109</v>
      </c>
      <c r="J65" s="25">
        <v>45047</v>
      </c>
      <c r="K65" s="25">
        <v>47239</v>
      </c>
      <c r="L65" s="13">
        <f ca="1">DATEDIF(J65, TODAY(), "m")</f>
        <v>35</v>
      </c>
      <c r="M65" s="25"/>
      <c r="Q65" s="12">
        <v>104</v>
      </c>
      <c r="R65" s="21" t="s">
        <v>88</v>
      </c>
    </row>
    <row r="66" spans="1:18" ht="15.75" customHeight="1" x14ac:dyDescent="0.25">
      <c r="A66" s="20" t="s">
        <v>229</v>
      </c>
      <c r="B66" s="21" t="s">
        <v>230</v>
      </c>
      <c r="C66" s="22" t="s">
        <v>81</v>
      </c>
      <c r="D66" s="26" t="s">
        <v>203</v>
      </c>
      <c r="E66" s="20" t="s">
        <v>231</v>
      </c>
      <c r="F66" s="20" t="s">
        <v>44</v>
      </c>
      <c r="G66" s="20" t="s">
        <v>30</v>
      </c>
      <c r="H66" s="20" t="s">
        <v>115</v>
      </c>
      <c r="I66" s="24" t="s">
        <v>109</v>
      </c>
      <c r="J66" s="25">
        <v>45245</v>
      </c>
      <c r="K66" s="25">
        <v>47529</v>
      </c>
      <c r="L66" s="13">
        <f ca="1">DATEDIF(J66, TODAY(), "m")</f>
        <v>28</v>
      </c>
      <c r="M66" s="25"/>
      <c r="N66" s="20"/>
      <c r="Q66" s="12">
        <v>104</v>
      </c>
      <c r="R66" s="21" t="s">
        <v>88</v>
      </c>
    </row>
    <row r="67" spans="1:18" ht="15.75" customHeight="1" x14ac:dyDescent="0.25">
      <c r="A67" s="21" t="s">
        <v>232</v>
      </c>
      <c r="B67" s="21" t="s">
        <v>233</v>
      </c>
      <c r="C67" s="22" t="s">
        <v>81</v>
      </c>
      <c r="D67" s="23" t="s">
        <v>203</v>
      </c>
      <c r="E67" s="21" t="s">
        <v>234</v>
      </c>
      <c r="F67" s="21" t="s">
        <v>44</v>
      </c>
      <c r="G67" s="21" t="s">
        <v>30</v>
      </c>
      <c r="H67" s="21" t="s">
        <v>115</v>
      </c>
      <c r="I67" s="24" t="s">
        <v>109</v>
      </c>
      <c r="J67" s="25">
        <v>45047</v>
      </c>
      <c r="K67" s="25">
        <v>47239</v>
      </c>
      <c r="L67" s="13">
        <f ca="1">DATEDIF(J67, TODAY(), "m")</f>
        <v>35</v>
      </c>
      <c r="M67" s="25"/>
      <c r="Q67" s="12">
        <v>104</v>
      </c>
      <c r="R67" s="21" t="s">
        <v>88</v>
      </c>
    </row>
    <row r="68" spans="1:18" ht="15.75" customHeight="1" x14ac:dyDescent="0.25">
      <c r="A68" s="20" t="s">
        <v>235</v>
      </c>
      <c r="B68" s="21" t="s">
        <v>236</v>
      </c>
      <c r="C68" s="22" t="s">
        <v>81</v>
      </c>
      <c r="D68" s="26" t="s">
        <v>203</v>
      </c>
      <c r="E68" s="20" t="s">
        <v>237</v>
      </c>
      <c r="F68" s="20" t="s">
        <v>44</v>
      </c>
      <c r="G68" s="20" t="s">
        <v>30</v>
      </c>
      <c r="H68" s="20" t="s">
        <v>115</v>
      </c>
      <c r="I68" s="24" t="s">
        <v>109</v>
      </c>
      <c r="J68" s="25">
        <v>45245</v>
      </c>
      <c r="K68" s="25">
        <v>47529</v>
      </c>
      <c r="L68" s="13">
        <f ca="1">DATEDIF(J68, TODAY(), "m")</f>
        <v>28</v>
      </c>
      <c r="M68" s="25"/>
      <c r="N68" s="20"/>
      <c r="Q68" s="12">
        <v>104</v>
      </c>
      <c r="R68" s="21" t="s">
        <v>88</v>
      </c>
    </row>
    <row r="69" spans="1:18" ht="15.75" customHeight="1" x14ac:dyDescent="0.25">
      <c r="A69" s="21" t="s">
        <v>238</v>
      </c>
      <c r="B69" s="21" t="s">
        <v>239</v>
      </c>
      <c r="C69" s="22" t="s">
        <v>81</v>
      </c>
      <c r="D69" s="23" t="s">
        <v>203</v>
      </c>
      <c r="E69" s="21" t="s">
        <v>240</v>
      </c>
      <c r="F69" s="21" t="s">
        <v>44</v>
      </c>
      <c r="G69" s="21" t="s">
        <v>30</v>
      </c>
      <c r="H69" s="21" t="s">
        <v>115</v>
      </c>
      <c r="I69" s="24" t="s">
        <v>109</v>
      </c>
      <c r="J69" s="25">
        <v>45245</v>
      </c>
      <c r="K69" s="25">
        <v>46706</v>
      </c>
      <c r="L69" s="13">
        <f ca="1">DATEDIF(J69, TODAY(), "m")</f>
        <v>28</v>
      </c>
      <c r="M69" s="25"/>
      <c r="Q69" s="12">
        <v>104</v>
      </c>
      <c r="R69" s="21" t="s">
        <v>88</v>
      </c>
    </row>
    <row r="70" spans="1:18" ht="15.75" customHeight="1" x14ac:dyDescent="0.25">
      <c r="A70" s="20" t="s">
        <v>241</v>
      </c>
      <c r="B70" s="21" t="s">
        <v>242</v>
      </c>
      <c r="C70" s="22" t="s">
        <v>81</v>
      </c>
      <c r="D70" s="26" t="s">
        <v>203</v>
      </c>
      <c r="E70" s="20" t="s">
        <v>243</v>
      </c>
      <c r="F70" s="20" t="s">
        <v>44</v>
      </c>
      <c r="G70" s="20" t="s">
        <v>30</v>
      </c>
      <c r="H70" s="20" t="s">
        <v>115</v>
      </c>
      <c r="I70" s="24" t="s">
        <v>171</v>
      </c>
      <c r="J70" s="25">
        <v>45245</v>
      </c>
      <c r="K70" s="25">
        <v>46706</v>
      </c>
      <c r="L70" s="13">
        <f ca="1">DATEDIF(J70, TODAY(), "m")</f>
        <v>28</v>
      </c>
      <c r="M70" s="25"/>
      <c r="N70" s="20"/>
      <c r="Q70" s="12">
        <v>104</v>
      </c>
      <c r="R70" s="21" t="s">
        <v>88</v>
      </c>
    </row>
    <row r="71" spans="1:18" ht="15.75" customHeight="1" x14ac:dyDescent="0.25">
      <c r="A71" s="21" t="s">
        <v>244</v>
      </c>
      <c r="B71" s="21" t="s">
        <v>245</v>
      </c>
      <c r="C71" s="22" t="s">
        <v>81</v>
      </c>
      <c r="D71" s="23" t="s">
        <v>203</v>
      </c>
      <c r="E71" s="21" t="s">
        <v>246</v>
      </c>
      <c r="F71" s="21" t="s">
        <v>44</v>
      </c>
      <c r="G71" s="21" t="s">
        <v>30</v>
      </c>
      <c r="H71" s="21" t="s">
        <v>115</v>
      </c>
      <c r="I71" s="24" t="s">
        <v>171</v>
      </c>
      <c r="J71" s="25">
        <v>45245</v>
      </c>
      <c r="K71" s="25">
        <v>46706</v>
      </c>
      <c r="L71" s="13">
        <f ca="1">DATEDIF(J71, TODAY(), "m")</f>
        <v>28</v>
      </c>
      <c r="M71" s="25"/>
      <c r="Q71" s="12">
        <v>104</v>
      </c>
      <c r="R71" s="21" t="s">
        <v>88</v>
      </c>
    </row>
    <row r="72" spans="1:18" ht="15.75" customHeight="1" x14ac:dyDescent="0.25">
      <c r="A72" s="20" t="s">
        <v>247</v>
      </c>
      <c r="B72" s="21" t="s">
        <v>248</v>
      </c>
      <c r="C72" s="22" t="s">
        <v>81</v>
      </c>
      <c r="D72" s="26" t="s">
        <v>203</v>
      </c>
      <c r="E72" s="20" t="s">
        <v>249</v>
      </c>
      <c r="F72" s="20" t="s">
        <v>44</v>
      </c>
      <c r="G72" s="20" t="s">
        <v>30</v>
      </c>
      <c r="H72" s="20" t="s">
        <v>115</v>
      </c>
      <c r="I72" s="24" t="s">
        <v>171</v>
      </c>
      <c r="J72" s="25">
        <v>45245</v>
      </c>
      <c r="K72" s="25">
        <v>46706</v>
      </c>
      <c r="L72" s="13">
        <f ca="1">DATEDIF(J72, TODAY(), "m")</f>
        <v>28</v>
      </c>
      <c r="M72" s="25"/>
      <c r="N72" s="20"/>
      <c r="Q72" s="12">
        <v>104</v>
      </c>
      <c r="R72" s="21" t="s">
        <v>88</v>
      </c>
    </row>
    <row r="73" spans="1:18" ht="15.75" customHeight="1" x14ac:dyDescent="0.25">
      <c r="A73" s="21" t="s">
        <v>250</v>
      </c>
      <c r="B73" s="21" t="s">
        <v>251</v>
      </c>
      <c r="C73" s="22" t="s">
        <v>81</v>
      </c>
      <c r="D73" s="23" t="s">
        <v>203</v>
      </c>
      <c r="E73" s="21" t="s">
        <v>252</v>
      </c>
      <c r="F73" s="21" t="s">
        <v>44</v>
      </c>
      <c r="G73" s="21" t="s">
        <v>30</v>
      </c>
      <c r="H73" s="21" t="s">
        <v>115</v>
      </c>
      <c r="I73" s="24" t="s">
        <v>109</v>
      </c>
      <c r="J73" s="25">
        <v>45245</v>
      </c>
      <c r="K73" s="25">
        <v>46736</v>
      </c>
      <c r="L73" s="13">
        <f ca="1">DATEDIF(J73, TODAY(), "m")</f>
        <v>28</v>
      </c>
      <c r="M73" s="25"/>
      <c r="Q73" s="12">
        <v>104</v>
      </c>
      <c r="R73" s="21" t="s">
        <v>88</v>
      </c>
    </row>
    <row r="74" spans="1:18" ht="15.75" customHeight="1" x14ac:dyDescent="0.25">
      <c r="A74" s="20" t="s">
        <v>253</v>
      </c>
      <c r="B74" s="21" t="s">
        <v>254</v>
      </c>
      <c r="C74" s="22" t="s">
        <v>81</v>
      </c>
      <c r="D74" s="26" t="s">
        <v>203</v>
      </c>
      <c r="E74" s="20" t="s">
        <v>255</v>
      </c>
      <c r="F74" s="20" t="s">
        <v>44</v>
      </c>
      <c r="G74" s="20" t="s">
        <v>30</v>
      </c>
      <c r="H74" s="20" t="s">
        <v>115</v>
      </c>
      <c r="I74" s="24" t="s">
        <v>171</v>
      </c>
      <c r="J74" s="25">
        <v>45245</v>
      </c>
      <c r="K74" s="25">
        <v>46736</v>
      </c>
      <c r="L74" s="13">
        <f ca="1">DATEDIF(J74, TODAY(), "m")</f>
        <v>28</v>
      </c>
      <c r="M74" s="25"/>
      <c r="N74" s="20"/>
      <c r="Q74" s="12">
        <v>104</v>
      </c>
      <c r="R74" s="21" t="s">
        <v>88</v>
      </c>
    </row>
    <row r="75" spans="1:18" ht="15.75" customHeight="1" x14ac:dyDescent="0.25">
      <c r="A75" s="21" t="s">
        <v>256</v>
      </c>
      <c r="B75" s="21" t="s">
        <v>257</v>
      </c>
      <c r="C75" s="22" t="s">
        <v>81</v>
      </c>
      <c r="D75" s="23" t="s">
        <v>203</v>
      </c>
      <c r="E75" s="21" t="s">
        <v>258</v>
      </c>
      <c r="F75" s="21" t="s">
        <v>44</v>
      </c>
      <c r="G75" s="21" t="s">
        <v>30</v>
      </c>
      <c r="H75" s="21" t="s">
        <v>115</v>
      </c>
      <c r="I75" s="24" t="s">
        <v>109</v>
      </c>
      <c r="J75" s="25">
        <v>45245</v>
      </c>
      <c r="K75" s="25">
        <v>46798</v>
      </c>
      <c r="L75" s="13">
        <f ca="1">DATEDIF(J75, TODAY(), "m")</f>
        <v>28</v>
      </c>
      <c r="M75" s="25"/>
      <c r="Q75" s="12">
        <v>104</v>
      </c>
      <c r="R75" s="21" t="s">
        <v>88</v>
      </c>
    </row>
    <row r="76" spans="1:18" ht="15.75" customHeight="1" x14ac:dyDescent="0.25">
      <c r="A76" s="21" t="s">
        <v>259</v>
      </c>
      <c r="B76" s="21" t="s">
        <v>260</v>
      </c>
      <c r="C76" s="22" t="s">
        <v>81</v>
      </c>
      <c r="D76" s="26" t="s">
        <v>203</v>
      </c>
      <c r="E76" s="20" t="s">
        <v>261</v>
      </c>
      <c r="F76" s="20" t="s">
        <v>44</v>
      </c>
      <c r="G76" s="20" t="s">
        <v>30</v>
      </c>
      <c r="H76" s="20" t="s">
        <v>115</v>
      </c>
      <c r="I76" s="24" t="s">
        <v>109</v>
      </c>
      <c r="J76" s="25">
        <v>45245</v>
      </c>
      <c r="K76" s="25">
        <v>46798</v>
      </c>
      <c r="L76" s="13">
        <f ca="1">DATEDIF(J76, TODAY(), "m")</f>
        <v>28</v>
      </c>
      <c r="M76" s="25"/>
      <c r="N76" s="20"/>
      <c r="Q76" s="12">
        <v>104</v>
      </c>
      <c r="R76" s="21" t="s">
        <v>88</v>
      </c>
    </row>
    <row r="77" spans="1:18" ht="15.75" customHeight="1" x14ac:dyDescent="0.25">
      <c r="A77" s="21" t="s">
        <v>262</v>
      </c>
      <c r="B77" s="21" t="s">
        <v>263</v>
      </c>
      <c r="C77" s="22" t="s">
        <v>81</v>
      </c>
      <c r="D77" s="23" t="s">
        <v>203</v>
      </c>
      <c r="E77" s="21" t="s">
        <v>264</v>
      </c>
      <c r="F77" s="21" t="s">
        <v>44</v>
      </c>
      <c r="G77" s="21" t="s">
        <v>30</v>
      </c>
      <c r="H77" s="21" t="s">
        <v>115</v>
      </c>
      <c r="I77" s="24" t="s">
        <v>109</v>
      </c>
      <c r="J77" s="25">
        <v>45245</v>
      </c>
      <c r="K77" s="25">
        <v>46798</v>
      </c>
      <c r="L77" s="13">
        <f ca="1">DATEDIF(J77, TODAY(), "m")</f>
        <v>28</v>
      </c>
      <c r="M77" s="25"/>
      <c r="Q77" s="12">
        <v>104</v>
      </c>
      <c r="R77" s="21" t="s">
        <v>88</v>
      </c>
    </row>
    <row r="78" spans="1:18" ht="15.75" customHeight="1" x14ac:dyDescent="0.25">
      <c r="A78" s="20" t="s">
        <v>265</v>
      </c>
      <c r="B78" s="21" t="s">
        <v>266</v>
      </c>
      <c r="C78" s="22" t="s">
        <v>81</v>
      </c>
      <c r="D78" s="26" t="s">
        <v>203</v>
      </c>
      <c r="E78" s="20" t="s">
        <v>267</v>
      </c>
      <c r="F78" s="20" t="s">
        <v>44</v>
      </c>
      <c r="G78" s="20" t="s">
        <v>30</v>
      </c>
      <c r="H78" s="20" t="s">
        <v>115</v>
      </c>
      <c r="I78" s="24" t="s">
        <v>171</v>
      </c>
      <c r="J78" s="25">
        <v>45245</v>
      </c>
      <c r="K78" s="25">
        <v>47529</v>
      </c>
      <c r="L78" s="13">
        <f ca="1">DATEDIF(J78, TODAY(), "m")</f>
        <v>28</v>
      </c>
      <c r="M78" s="25"/>
      <c r="N78" s="20"/>
      <c r="Q78" s="12">
        <v>104</v>
      </c>
      <c r="R78" s="21" t="s">
        <v>88</v>
      </c>
    </row>
    <row r="79" spans="1:18" ht="15.75" customHeight="1" x14ac:dyDescent="0.25">
      <c r="A79" s="21" t="s">
        <v>268</v>
      </c>
      <c r="B79" s="21" t="s">
        <v>269</v>
      </c>
      <c r="C79" s="22" t="s">
        <v>81</v>
      </c>
      <c r="D79" s="23" t="s">
        <v>203</v>
      </c>
      <c r="E79" s="21" t="s">
        <v>270</v>
      </c>
      <c r="F79" s="21" t="s">
        <v>44</v>
      </c>
      <c r="G79" s="21" t="s">
        <v>30</v>
      </c>
      <c r="H79" s="21" t="s">
        <v>108</v>
      </c>
      <c r="I79" s="24" t="s">
        <v>171</v>
      </c>
      <c r="J79" s="25">
        <v>45245</v>
      </c>
      <c r="K79" s="25">
        <v>47164</v>
      </c>
      <c r="L79" s="13">
        <f ca="1">DATEDIF(J79, TODAY(), "m")</f>
        <v>28</v>
      </c>
      <c r="M79" s="25"/>
      <c r="Q79" s="12">
        <v>104</v>
      </c>
      <c r="R79" s="21" t="s">
        <v>88</v>
      </c>
    </row>
    <row r="80" spans="1:18" ht="15.75" customHeight="1" x14ac:dyDescent="0.25">
      <c r="A80" s="20" t="s">
        <v>271</v>
      </c>
      <c r="B80" s="21" t="s">
        <v>272</v>
      </c>
      <c r="C80" s="22" t="s">
        <v>81</v>
      </c>
      <c r="D80" s="26" t="s">
        <v>203</v>
      </c>
      <c r="E80" s="20" t="s">
        <v>273</v>
      </c>
      <c r="F80" s="20" t="s">
        <v>44</v>
      </c>
      <c r="G80" s="20" t="s">
        <v>30</v>
      </c>
      <c r="H80" s="20" t="s">
        <v>115</v>
      </c>
      <c r="I80" s="24" t="s">
        <v>171</v>
      </c>
      <c r="J80" s="25">
        <v>45245</v>
      </c>
      <c r="K80" s="25">
        <v>46798</v>
      </c>
      <c r="L80" s="13">
        <f ca="1">DATEDIF(J80, TODAY(), "m")</f>
        <v>28</v>
      </c>
      <c r="M80" s="25"/>
      <c r="N80" s="20"/>
      <c r="Q80" s="12">
        <v>104</v>
      </c>
      <c r="R80" s="21" t="s">
        <v>88</v>
      </c>
    </row>
    <row r="81" spans="1:22" ht="15.75" customHeight="1" x14ac:dyDescent="0.25">
      <c r="A81" s="21" t="s">
        <v>274</v>
      </c>
      <c r="C81" s="9" t="s">
        <v>23</v>
      </c>
      <c r="D81" s="23" t="s">
        <v>24</v>
      </c>
      <c r="E81" s="21" t="s">
        <v>275</v>
      </c>
      <c r="F81" s="21" t="s">
        <v>148</v>
      </c>
      <c r="G81" s="21" t="s">
        <v>30</v>
      </c>
      <c r="H81" s="21">
        <v>589</v>
      </c>
      <c r="I81" s="24" t="s">
        <v>171</v>
      </c>
      <c r="J81" s="25">
        <v>45596</v>
      </c>
      <c r="K81" s="25">
        <v>48152</v>
      </c>
      <c r="L81" s="13">
        <f ca="1">DATEDIF(J81, TODAY(), "m")</f>
        <v>17</v>
      </c>
      <c r="M81" s="25"/>
      <c r="Q81" s="12">
        <v>104</v>
      </c>
    </row>
    <row r="82" spans="1:22" ht="15.75" customHeight="1" x14ac:dyDescent="0.25">
      <c r="A82" s="20" t="s">
        <v>276</v>
      </c>
      <c r="B82" s="21" t="s">
        <v>277</v>
      </c>
      <c r="C82" s="22" t="s">
        <v>81</v>
      </c>
      <c r="D82" s="26" t="s">
        <v>203</v>
      </c>
      <c r="E82" s="20" t="s">
        <v>278</v>
      </c>
      <c r="F82" s="20" t="s">
        <v>148</v>
      </c>
      <c r="G82" s="20" t="s">
        <v>30</v>
      </c>
      <c r="H82" s="20" t="s">
        <v>115</v>
      </c>
      <c r="I82" s="24" t="s">
        <v>171</v>
      </c>
      <c r="J82" s="25">
        <v>45536</v>
      </c>
      <c r="K82" s="25">
        <v>47788</v>
      </c>
      <c r="L82" s="13">
        <f ca="1">DATEDIF(J82, TODAY(), "m")</f>
        <v>19</v>
      </c>
      <c r="M82" s="25"/>
      <c r="N82" s="20"/>
      <c r="Q82" s="12">
        <v>104</v>
      </c>
      <c r="R82" s="21" t="s">
        <v>88</v>
      </c>
    </row>
    <row r="83" spans="1:22" ht="15.75" customHeight="1" x14ac:dyDescent="0.25">
      <c r="A83" s="21" t="s">
        <v>279</v>
      </c>
      <c r="B83" s="21" t="s">
        <v>280</v>
      </c>
      <c r="C83" s="22" t="s">
        <v>81</v>
      </c>
      <c r="D83" s="26" t="s">
        <v>203</v>
      </c>
      <c r="E83" s="21" t="s">
        <v>281</v>
      </c>
      <c r="F83" s="21" t="s">
        <v>148</v>
      </c>
      <c r="G83" s="21" t="s">
        <v>30</v>
      </c>
      <c r="H83" s="21" t="s">
        <v>115</v>
      </c>
      <c r="I83" s="24" t="s">
        <v>109</v>
      </c>
      <c r="J83" s="25">
        <v>45536</v>
      </c>
      <c r="K83" s="25">
        <v>47788</v>
      </c>
      <c r="L83" s="13">
        <f ca="1">DATEDIF(J83, TODAY(), "m")</f>
        <v>19</v>
      </c>
      <c r="M83" s="25"/>
      <c r="Q83" s="12">
        <v>104</v>
      </c>
      <c r="R83" s="21" t="s">
        <v>88</v>
      </c>
    </row>
    <row r="84" spans="1:22" ht="15.75" customHeight="1" x14ac:dyDescent="0.25">
      <c r="A84" s="21" t="s">
        <v>282</v>
      </c>
      <c r="C84" s="22" t="s">
        <v>283</v>
      </c>
      <c r="D84" s="23" t="s">
        <v>284</v>
      </c>
      <c r="E84" s="21">
        <v>817546</v>
      </c>
      <c r="G84" s="21" t="s">
        <v>30</v>
      </c>
      <c r="H84" s="21">
        <v>567</v>
      </c>
      <c r="I84" s="24"/>
      <c r="L84" s="13">
        <f ca="1">DATEDIF(J84, TODAY(), "m")</f>
        <v>1515</v>
      </c>
      <c r="Q84" s="12">
        <v>104</v>
      </c>
    </row>
    <row r="85" spans="1:22" ht="15.75" customHeight="1" x14ac:dyDescent="0.25">
      <c r="A85" s="33" t="s">
        <v>282</v>
      </c>
      <c r="B85" s="34"/>
      <c r="C85" s="35" t="s">
        <v>81</v>
      </c>
      <c r="D85" s="23" t="s">
        <v>285</v>
      </c>
      <c r="E85" s="36" t="s">
        <v>286</v>
      </c>
      <c r="F85" s="37">
        <v>2026</v>
      </c>
      <c r="G85" s="21" t="s">
        <v>30</v>
      </c>
      <c r="H85" s="21">
        <v>567</v>
      </c>
      <c r="I85" s="24"/>
      <c r="J85" s="25"/>
      <c r="K85" s="25"/>
      <c r="L85" s="13">
        <f ca="1">DATEDIF(J85, TODAY(), "m")</f>
        <v>1515</v>
      </c>
      <c r="M85" s="25"/>
      <c r="Q85" s="12">
        <v>104</v>
      </c>
    </row>
    <row r="86" spans="1:22" ht="15.75" customHeight="1" x14ac:dyDescent="0.25">
      <c r="A86" s="21" t="s">
        <v>287</v>
      </c>
      <c r="B86" s="21" t="s">
        <v>288</v>
      </c>
      <c r="C86" s="22" t="s">
        <v>81</v>
      </c>
      <c r="D86" s="26" t="s">
        <v>203</v>
      </c>
      <c r="E86" s="28" t="s">
        <v>289</v>
      </c>
      <c r="F86" s="21">
        <v>2025</v>
      </c>
      <c r="G86" s="21" t="s">
        <v>30</v>
      </c>
      <c r="H86" s="21">
        <v>567</v>
      </c>
      <c r="I86" s="24" t="s">
        <v>171</v>
      </c>
      <c r="L86" s="13">
        <f ca="1">DATEDIF(J86, TODAY(), "m")</f>
        <v>1515</v>
      </c>
      <c r="N86" s="21" t="s">
        <v>290</v>
      </c>
      <c r="Q86" s="12">
        <v>104</v>
      </c>
      <c r="R86" s="21" t="s">
        <v>88</v>
      </c>
    </row>
    <row r="87" spans="1:22" ht="15.75" customHeight="1" x14ac:dyDescent="0.25">
      <c r="A87" s="21" t="s">
        <v>291</v>
      </c>
      <c r="B87" s="21" t="s">
        <v>292</v>
      </c>
      <c r="C87" s="22" t="s">
        <v>81</v>
      </c>
      <c r="D87" s="26" t="s">
        <v>203</v>
      </c>
      <c r="E87" s="28" t="s">
        <v>293</v>
      </c>
      <c r="F87" s="21">
        <v>2025</v>
      </c>
      <c r="G87" s="21" t="s">
        <v>30</v>
      </c>
      <c r="H87" s="21">
        <v>567</v>
      </c>
      <c r="I87" s="24" t="s">
        <v>109</v>
      </c>
      <c r="J87" s="38">
        <v>45618</v>
      </c>
      <c r="L87" s="13">
        <f ca="1">DATEDIF(J87, TODAY(), "m")</f>
        <v>16</v>
      </c>
      <c r="N87" s="21" t="s">
        <v>294</v>
      </c>
      <c r="Q87" s="12">
        <v>104</v>
      </c>
      <c r="R87" s="21" t="s">
        <v>88</v>
      </c>
    </row>
    <row r="88" spans="1:22" ht="15.75" customHeight="1" x14ac:dyDescent="0.25">
      <c r="A88" s="21" t="s">
        <v>295</v>
      </c>
      <c r="B88" s="21" t="s">
        <v>296</v>
      </c>
      <c r="C88" s="22" t="s">
        <v>81</v>
      </c>
      <c r="D88" s="26" t="s">
        <v>203</v>
      </c>
      <c r="E88" s="28" t="s">
        <v>297</v>
      </c>
      <c r="F88" s="21">
        <v>2025</v>
      </c>
      <c r="G88" s="21" t="s">
        <v>30</v>
      </c>
      <c r="H88" s="21">
        <v>567</v>
      </c>
      <c r="I88" s="24" t="s">
        <v>109</v>
      </c>
      <c r="L88" s="13">
        <f ca="1">DATEDIF(J88, TODAY(), "m")</f>
        <v>1515</v>
      </c>
      <c r="N88" s="21" t="s">
        <v>298</v>
      </c>
      <c r="Q88" s="12">
        <v>104</v>
      </c>
      <c r="R88" s="21" t="s">
        <v>88</v>
      </c>
    </row>
    <row r="89" spans="1:22" ht="15.75" customHeight="1" x14ac:dyDescent="0.25">
      <c r="A89" s="15" t="s">
        <v>299</v>
      </c>
      <c r="B89" s="15"/>
      <c r="C89" s="22" t="s">
        <v>283</v>
      </c>
      <c r="D89" s="17" t="s">
        <v>300</v>
      </c>
      <c r="E89" s="15" t="s">
        <v>301</v>
      </c>
      <c r="F89" s="15" t="s">
        <v>84</v>
      </c>
      <c r="G89" s="15" t="s">
        <v>30</v>
      </c>
      <c r="H89" s="15" t="s">
        <v>85</v>
      </c>
      <c r="I89" s="15" t="s">
        <v>109</v>
      </c>
      <c r="J89" s="29">
        <v>43377</v>
      </c>
      <c r="K89" s="29">
        <v>45934</v>
      </c>
      <c r="L89" s="13">
        <f ca="1">DATEDIF(J89, TODAY(), "m")</f>
        <v>89</v>
      </c>
      <c r="M89" s="29"/>
      <c r="N89" s="15"/>
      <c r="O89" s="15"/>
      <c r="P89" s="15"/>
      <c r="Q89" s="12">
        <v>104</v>
      </c>
      <c r="R89" s="15" t="s">
        <v>88</v>
      </c>
      <c r="S89" s="15"/>
      <c r="T89" s="15"/>
      <c r="U89" s="15" t="s">
        <v>89</v>
      </c>
    </row>
    <row r="90" spans="1:22" ht="15.75" customHeight="1" x14ac:dyDescent="0.25">
      <c r="A90" s="20" t="s">
        <v>302</v>
      </c>
      <c r="C90" s="22" t="s">
        <v>283</v>
      </c>
      <c r="D90" s="26" t="s">
        <v>300</v>
      </c>
      <c r="E90" s="20" t="s">
        <v>303</v>
      </c>
      <c r="F90" s="20" t="s">
        <v>29</v>
      </c>
      <c r="G90" s="20" t="s">
        <v>30</v>
      </c>
      <c r="H90" s="20" t="s">
        <v>304</v>
      </c>
      <c r="I90" s="24" t="s">
        <v>109</v>
      </c>
      <c r="J90" s="25">
        <v>43830</v>
      </c>
      <c r="K90" s="25">
        <v>46446</v>
      </c>
      <c r="L90" s="13">
        <f ca="1">DATEDIF(J90, TODAY(), "m")</f>
        <v>75</v>
      </c>
      <c r="M90" s="25"/>
      <c r="N90" s="20"/>
      <c r="Q90" s="12">
        <v>104</v>
      </c>
      <c r="R90" s="21" t="s">
        <v>88</v>
      </c>
    </row>
    <row r="91" spans="1:22" ht="15.75" customHeight="1" x14ac:dyDescent="0.25">
      <c r="A91" s="20" t="s">
        <v>305</v>
      </c>
      <c r="B91" s="21">
        <v>395</v>
      </c>
      <c r="C91" s="22" t="s">
        <v>81</v>
      </c>
      <c r="D91" s="26" t="s">
        <v>306</v>
      </c>
      <c r="E91" s="20" t="s">
        <v>307</v>
      </c>
      <c r="F91" s="20" t="s">
        <v>39</v>
      </c>
      <c r="G91" s="20" t="s">
        <v>30</v>
      </c>
      <c r="H91" s="20" t="s">
        <v>31</v>
      </c>
      <c r="I91" s="24" t="s">
        <v>308</v>
      </c>
      <c r="J91" s="25">
        <v>44216</v>
      </c>
      <c r="K91" s="25">
        <v>46407</v>
      </c>
      <c r="L91" s="13">
        <f ca="1">DATEDIF(J91, TODAY(), "m")</f>
        <v>62</v>
      </c>
      <c r="M91" s="25"/>
      <c r="N91" s="20"/>
      <c r="O91" s="21" t="s">
        <v>309</v>
      </c>
      <c r="Q91" s="12">
        <v>104</v>
      </c>
    </row>
    <row r="92" spans="1:22" ht="15.75" customHeight="1" x14ac:dyDescent="0.25">
      <c r="A92" s="21" t="s">
        <v>310</v>
      </c>
      <c r="B92" s="21">
        <v>396</v>
      </c>
      <c r="C92" s="22" t="s">
        <v>81</v>
      </c>
      <c r="D92" s="23" t="s">
        <v>306</v>
      </c>
      <c r="E92" s="21" t="s">
        <v>311</v>
      </c>
      <c r="F92" s="21" t="s">
        <v>39</v>
      </c>
      <c r="G92" s="21" t="s">
        <v>30</v>
      </c>
      <c r="H92" s="21" t="s">
        <v>31</v>
      </c>
      <c r="I92" s="24" t="s">
        <v>308</v>
      </c>
      <c r="J92" s="25">
        <v>44216</v>
      </c>
      <c r="K92" s="25">
        <v>46407</v>
      </c>
      <c r="L92" s="13">
        <f ca="1">DATEDIF(J92, TODAY(), "m")</f>
        <v>62</v>
      </c>
      <c r="M92" s="25"/>
      <c r="O92" s="21" t="s">
        <v>309</v>
      </c>
      <c r="Q92" s="12">
        <v>104</v>
      </c>
    </row>
    <row r="93" spans="1:22" ht="15.75" customHeight="1" x14ac:dyDescent="0.25">
      <c r="A93" s="20" t="s">
        <v>312</v>
      </c>
      <c r="B93" s="21">
        <v>397</v>
      </c>
      <c r="C93" s="22" t="s">
        <v>81</v>
      </c>
      <c r="D93" s="26" t="s">
        <v>306</v>
      </c>
      <c r="E93" s="20" t="s">
        <v>313</v>
      </c>
      <c r="F93" s="20" t="s">
        <v>39</v>
      </c>
      <c r="G93" s="20" t="s">
        <v>30</v>
      </c>
      <c r="H93" s="20" t="s">
        <v>31</v>
      </c>
      <c r="I93" s="24" t="s">
        <v>308</v>
      </c>
      <c r="J93" s="25">
        <v>44216</v>
      </c>
      <c r="K93" s="25">
        <v>46407</v>
      </c>
      <c r="L93" s="13">
        <f ca="1">DATEDIF(J93, TODAY(), "m")</f>
        <v>62</v>
      </c>
      <c r="M93" s="25"/>
      <c r="N93" s="20"/>
      <c r="O93" s="21" t="s">
        <v>309</v>
      </c>
      <c r="Q93" s="12">
        <v>104</v>
      </c>
    </row>
    <row r="94" spans="1:22" ht="15.75" customHeight="1" x14ac:dyDescent="0.25">
      <c r="A94" s="20" t="s">
        <v>314</v>
      </c>
      <c r="B94" s="21">
        <v>392</v>
      </c>
      <c r="C94" s="22" t="s">
        <v>81</v>
      </c>
      <c r="D94" s="26" t="s">
        <v>306</v>
      </c>
      <c r="E94" s="20" t="s">
        <v>315</v>
      </c>
      <c r="F94" s="20" t="s">
        <v>39</v>
      </c>
      <c r="G94" s="20" t="s">
        <v>30</v>
      </c>
      <c r="H94" s="20" t="s">
        <v>31</v>
      </c>
      <c r="I94" s="24" t="s">
        <v>308</v>
      </c>
      <c r="J94" s="25">
        <v>44216</v>
      </c>
      <c r="K94" s="25">
        <v>46407</v>
      </c>
      <c r="L94" s="13">
        <f ca="1">DATEDIF(J94, TODAY(), "m")</f>
        <v>62</v>
      </c>
      <c r="M94" s="25"/>
      <c r="N94" s="20"/>
      <c r="O94" s="21" t="s">
        <v>309</v>
      </c>
      <c r="Q94" s="12">
        <v>104</v>
      </c>
    </row>
    <row r="95" spans="1:22" ht="15.75" customHeight="1" x14ac:dyDescent="0.25">
      <c r="A95" s="30" t="s">
        <v>316</v>
      </c>
      <c r="B95" s="24">
        <v>393</v>
      </c>
      <c r="C95" s="22" t="s">
        <v>81</v>
      </c>
      <c r="D95" s="23" t="s">
        <v>306</v>
      </c>
      <c r="E95" s="21" t="s">
        <v>317</v>
      </c>
      <c r="F95" s="21" t="s">
        <v>39</v>
      </c>
      <c r="G95" s="21" t="s">
        <v>30</v>
      </c>
      <c r="H95" s="21" t="s">
        <v>31</v>
      </c>
      <c r="I95" s="24" t="s">
        <v>308</v>
      </c>
      <c r="J95" s="25">
        <v>44216</v>
      </c>
      <c r="K95" s="25">
        <v>46407</v>
      </c>
      <c r="L95" s="13">
        <f ca="1">DATEDIF(J95, TODAY(), "m")</f>
        <v>62</v>
      </c>
      <c r="M95" s="25"/>
      <c r="O95" s="21" t="s">
        <v>309</v>
      </c>
      <c r="Q95" s="12">
        <v>104</v>
      </c>
      <c r="V95" s="32" t="s">
        <v>218</v>
      </c>
    </row>
    <row r="96" spans="1:22" ht="15.75" customHeight="1" x14ac:dyDescent="0.25">
      <c r="A96" s="39" t="s">
        <v>318</v>
      </c>
      <c r="B96" s="39">
        <v>394</v>
      </c>
      <c r="C96" s="22" t="s">
        <v>81</v>
      </c>
      <c r="D96" s="26" t="s">
        <v>306</v>
      </c>
      <c r="E96" s="20" t="s">
        <v>319</v>
      </c>
      <c r="F96" s="20" t="s">
        <v>39</v>
      </c>
      <c r="G96" s="20" t="s">
        <v>30</v>
      </c>
      <c r="H96" s="20" t="s">
        <v>31</v>
      </c>
      <c r="I96" s="24" t="s">
        <v>308</v>
      </c>
      <c r="J96" s="25">
        <v>44216</v>
      </c>
      <c r="K96" s="25">
        <v>46407</v>
      </c>
      <c r="L96" s="13">
        <f ca="1">DATEDIF(J96, TODAY(), "m")</f>
        <v>62</v>
      </c>
      <c r="M96" s="25"/>
      <c r="N96" s="20"/>
      <c r="O96" s="21" t="s">
        <v>309</v>
      </c>
      <c r="Q96" s="12">
        <v>104</v>
      </c>
      <c r="V96" s="22" t="s">
        <v>320</v>
      </c>
    </row>
    <row r="97" spans="1:22" ht="15.75" customHeight="1" x14ac:dyDescent="0.25">
      <c r="A97" s="21" t="s">
        <v>321</v>
      </c>
      <c r="C97" s="22" t="s">
        <v>81</v>
      </c>
      <c r="D97" s="23" t="s">
        <v>35</v>
      </c>
      <c r="E97" s="21" t="s">
        <v>322</v>
      </c>
      <c r="F97" s="21" t="s">
        <v>39</v>
      </c>
      <c r="G97" s="21" t="s">
        <v>30</v>
      </c>
      <c r="H97" s="21" t="s">
        <v>31</v>
      </c>
      <c r="I97" s="24" t="s">
        <v>308</v>
      </c>
      <c r="J97" s="25">
        <v>44279</v>
      </c>
      <c r="K97" s="25">
        <v>46836</v>
      </c>
      <c r="L97" s="13">
        <f ca="1">DATEDIF(J97, TODAY(), "m")</f>
        <v>60</v>
      </c>
      <c r="M97" s="25"/>
      <c r="Q97" s="12">
        <v>104</v>
      </c>
    </row>
    <row r="98" spans="1:22" ht="15.75" customHeight="1" x14ac:dyDescent="0.25">
      <c r="A98" s="20" t="s">
        <v>323</v>
      </c>
      <c r="C98" s="22" t="s">
        <v>81</v>
      </c>
      <c r="D98" s="23" t="s">
        <v>35</v>
      </c>
      <c r="E98" s="21" t="s">
        <v>324</v>
      </c>
      <c r="F98" s="20" t="s">
        <v>39</v>
      </c>
      <c r="G98" s="20" t="s">
        <v>30</v>
      </c>
      <c r="H98" s="20" t="s">
        <v>31</v>
      </c>
      <c r="I98" s="24" t="s">
        <v>308</v>
      </c>
      <c r="J98" s="25">
        <v>44279</v>
      </c>
      <c r="K98" s="25">
        <v>46836</v>
      </c>
      <c r="L98" s="13">
        <f ca="1">DATEDIF(J98, TODAY(), "m")</f>
        <v>60</v>
      </c>
      <c r="M98" s="25"/>
      <c r="N98" s="20"/>
      <c r="Q98" s="12">
        <v>104</v>
      </c>
    </row>
    <row r="99" spans="1:22" ht="15.75" customHeight="1" x14ac:dyDescent="0.25">
      <c r="A99" s="21" t="s">
        <v>325</v>
      </c>
      <c r="C99" s="22" t="s">
        <v>81</v>
      </c>
      <c r="D99" s="23" t="s">
        <v>35</v>
      </c>
      <c r="E99" s="21" t="s">
        <v>326</v>
      </c>
      <c r="F99" s="21" t="s">
        <v>327</v>
      </c>
      <c r="G99" s="21" t="s">
        <v>30</v>
      </c>
      <c r="H99" s="21" t="s">
        <v>31</v>
      </c>
      <c r="I99" s="24" t="s">
        <v>109</v>
      </c>
      <c r="J99" s="25">
        <v>44515</v>
      </c>
      <c r="K99" s="25">
        <v>47072</v>
      </c>
      <c r="L99" s="13">
        <f ca="1">DATEDIF(J99, TODAY(), "m")</f>
        <v>52</v>
      </c>
      <c r="M99" s="25"/>
      <c r="Q99" s="12">
        <v>104</v>
      </c>
    </row>
    <row r="100" spans="1:22" ht="15.75" customHeight="1" x14ac:dyDescent="0.25">
      <c r="A100" s="20" t="s">
        <v>328</v>
      </c>
      <c r="C100" s="22" t="s">
        <v>81</v>
      </c>
      <c r="D100" s="23" t="s">
        <v>35</v>
      </c>
      <c r="E100" s="21" t="s">
        <v>329</v>
      </c>
      <c r="F100" s="20" t="s">
        <v>327</v>
      </c>
      <c r="G100" s="20" t="s">
        <v>30</v>
      </c>
      <c r="H100" s="20" t="s">
        <v>31</v>
      </c>
      <c r="I100" s="24" t="s">
        <v>109</v>
      </c>
      <c r="J100" s="25">
        <v>44515</v>
      </c>
      <c r="K100" s="25">
        <v>47072</v>
      </c>
      <c r="L100" s="13">
        <f ca="1">DATEDIF(J100, TODAY(), "m")</f>
        <v>52</v>
      </c>
      <c r="M100" s="25"/>
      <c r="N100" s="20"/>
      <c r="Q100" s="12">
        <v>104</v>
      </c>
      <c r="V100" s="22" t="s">
        <v>330</v>
      </c>
    </row>
    <row r="101" spans="1:22" ht="15.75" customHeight="1" x14ac:dyDescent="0.25">
      <c r="A101" s="21" t="s">
        <v>331</v>
      </c>
      <c r="C101" s="22" t="s">
        <v>81</v>
      </c>
      <c r="D101" s="23" t="s">
        <v>35</v>
      </c>
      <c r="E101" s="21" t="s">
        <v>332</v>
      </c>
      <c r="F101" s="21" t="s">
        <v>327</v>
      </c>
      <c r="G101" s="21" t="s">
        <v>30</v>
      </c>
      <c r="H101" s="21" t="s">
        <v>31</v>
      </c>
      <c r="I101" s="24" t="s">
        <v>109</v>
      </c>
      <c r="J101" s="25">
        <v>44515</v>
      </c>
      <c r="K101" s="25">
        <v>47072</v>
      </c>
      <c r="L101" s="13">
        <f ca="1">DATEDIF(J101, TODAY(), "m")</f>
        <v>52</v>
      </c>
      <c r="M101" s="25"/>
      <c r="Q101" s="12">
        <v>104</v>
      </c>
      <c r="U101" s="28"/>
    </row>
    <row r="102" spans="1:22" ht="15.75" customHeight="1" x14ac:dyDescent="0.25">
      <c r="A102" s="20" t="s">
        <v>333</v>
      </c>
      <c r="C102" s="22" t="s">
        <v>81</v>
      </c>
      <c r="D102" s="23" t="s">
        <v>35</v>
      </c>
      <c r="E102" s="21" t="s">
        <v>334</v>
      </c>
      <c r="F102" s="20" t="s">
        <v>327</v>
      </c>
      <c r="G102" s="20" t="s">
        <v>30</v>
      </c>
      <c r="H102" s="20" t="s">
        <v>31</v>
      </c>
      <c r="I102" s="24" t="s">
        <v>109</v>
      </c>
      <c r="J102" s="25">
        <v>44515</v>
      </c>
      <c r="K102" s="25">
        <v>47072</v>
      </c>
      <c r="L102" s="13">
        <f ca="1">DATEDIF(J102, TODAY(), "m")</f>
        <v>52</v>
      </c>
      <c r="M102" s="25"/>
      <c r="N102" s="20"/>
      <c r="Q102" s="12">
        <v>104</v>
      </c>
      <c r="U102" s="28"/>
    </row>
    <row r="103" spans="1:22" ht="15.75" customHeight="1" x14ac:dyDescent="0.25">
      <c r="A103" s="15" t="s">
        <v>335</v>
      </c>
      <c r="B103" s="15"/>
      <c r="C103" s="16"/>
      <c r="D103" s="17" t="s">
        <v>336</v>
      </c>
      <c r="E103" s="15" t="s">
        <v>337</v>
      </c>
      <c r="F103" s="15" t="s">
        <v>205</v>
      </c>
      <c r="G103" s="15" t="s">
        <v>30</v>
      </c>
      <c r="H103" s="15" t="s">
        <v>115</v>
      </c>
      <c r="I103" s="15" t="s">
        <v>308</v>
      </c>
      <c r="J103" s="15"/>
      <c r="K103" s="15"/>
      <c r="L103" s="13">
        <f ca="1">DATEDIF(J103, TODAY(), "m")</f>
        <v>1515</v>
      </c>
      <c r="M103" s="15"/>
      <c r="N103" s="15"/>
      <c r="O103" s="15" t="s">
        <v>338</v>
      </c>
      <c r="P103" s="15"/>
      <c r="Q103" s="12">
        <v>104</v>
      </c>
      <c r="R103" s="15"/>
      <c r="S103" s="15"/>
      <c r="T103" s="15"/>
      <c r="U103" s="15"/>
    </row>
    <row r="104" spans="1:22" s="21" customFormat="1" ht="15.75" customHeight="1" x14ac:dyDescent="0.25">
      <c r="A104" s="15" t="s">
        <v>339</v>
      </c>
      <c r="B104" s="15"/>
      <c r="C104" s="16"/>
      <c r="D104" s="17" t="s">
        <v>336</v>
      </c>
      <c r="E104" s="15" t="s">
        <v>340</v>
      </c>
      <c r="F104" s="15" t="s">
        <v>205</v>
      </c>
      <c r="G104" s="15" t="s">
        <v>30</v>
      </c>
      <c r="H104" s="15" t="s">
        <v>115</v>
      </c>
      <c r="I104" s="15" t="s">
        <v>308</v>
      </c>
      <c r="J104" s="15"/>
      <c r="K104" s="15"/>
      <c r="L104" s="13">
        <f ca="1">DATEDIF(J104, TODAY(), "m")</f>
        <v>1515</v>
      </c>
      <c r="M104" s="15"/>
      <c r="N104" s="15"/>
      <c r="O104" s="15" t="s">
        <v>338</v>
      </c>
      <c r="P104" s="15"/>
      <c r="Q104" s="12">
        <v>104</v>
      </c>
      <c r="R104" s="15"/>
      <c r="S104" s="15"/>
      <c r="T104" s="15"/>
      <c r="U104" s="15"/>
      <c r="V104" s="22"/>
    </row>
    <row r="105" spans="1:22" s="21" customFormat="1" ht="15.75" customHeight="1" x14ac:dyDescent="0.25">
      <c r="A105" s="15" t="s">
        <v>341</v>
      </c>
      <c r="B105" s="15"/>
      <c r="C105" s="16"/>
      <c r="D105" s="17" t="s">
        <v>336</v>
      </c>
      <c r="E105" s="15" t="s">
        <v>342</v>
      </c>
      <c r="F105" s="15" t="s">
        <v>205</v>
      </c>
      <c r="G105" s="15" t="s">
        <v>30</v>
      </c>
      <c r="H105" s="15" t="s">
        <v>115</v>
      </c>
      <c r="I105" s="15" t="s">
        <v>308</v>
      </c>
      <c r="J105" s="15"/>
      <c r="K105" s="15"/>
      <c r="L105" s="13">
        <f ca="1">DATEDIF(J105, TODAY(), "m")</f>
        <v>1515</v>
      </c>
      <c r="M105" s="15"/>
      <c r="N105" s="15"/>
      <c r="O105" s="15" t="s">
        <v>338</v>
      </c>
      <c r="P105" s="15"/>
      <c r="Q105" s="12">
        <v>104</v>
      </c>
      <c r="R105" s="15"/>
      <c r="S105" s="15"/>
      <c r="T105" s="15"/>
      <c r="U105" s="15"/>
      <c r="V105" s="22"/>
    </row>
    <row r="106" spans="1:22" s="21" customFormat="1" ht="15.75" customHeight="1" x14ac:dyDescent="0.25">
      <c r="A106" s="15" t="s">
        <v>343</v>
      </c>
      <c r="B106" s="15"/>
      <c r="C106" s="16"/>
      <c r="D106" s="17" t="s">
        <v>336</v>
      </c>
      <c r="E106" s="15" t="s">
        <v>344</v>
      </c>
      <c r="F106" s="15" t="s">
        <v>205</v>
      </c>
      <c r="G106" s="15" t="s">
        <v>30</v>
      </c>
      <c r="H106" s="15" t="s">
        <v>115</v>
      </c>
      <c r="I106" s="15" t="s">
        <v>308</v>
      </c>
      <c r="J106" s="15"/>
      <c r="K106" s="15"/>
      <c r="L106" s="13">
        <f ca="1">DATEDIF(J106, TODAY(), "m")</f>
        <v>1515</v>
      </c>
      <c r="M106" s="15"/>
      <c r="N106" s="15"/>
      <c r="O106" s="15" t="s">
        <v>338</v>
      </c>
      <c r="P106" s="15"/>
      <c r="Q106" s="12">
        <v>104</v>
      </c>
      <c r="R106" s="15"/>
      <c r="S106" s="15"/>
      <c r="T106" s="15"/>
      <c r="U106" s="15"/>
      <c r="V106" s="22"/>
    </row>
    <row r="107" spans="1:22" s="21" customFormat="1" ht="15.75" customHeight="1" x14ac:dyDescent="0.25">
      <c r="A107" s="15" t="s">
        <v>345</v>
      </c>
      <c r="B107" s="15"/>
      <c r="C107" s="16"/>
      <c r="D107" s="17" t="s">
        <v>336</v>
      </c>
      <c r="E107" s="15" t="s">
        <v>346</v>
      </c>
      <c r="F107" s="15" t="s">
        <v>205</v>
      </c>
      <c r="G107" s="15" t="s">
        <v>30</v>
      </c>
      <c r="H107" s="15" t="s">
        <v>115</v>
      </c>
      <c r="I107" s="15" t="s">
        <v>308</v>
      </c>
      <c r="J107" s="15"/>
      <c r="K107" s="15"/>
      <c r="L107" s="13">
        <f ca="1">DATEDIF(J107, TODAY(), "m")</f>
        <v>1515</v>
      </c>
      <c r="M107" s="15"/>
      <c r="N107" s="15"/>
      <c r="O107" s="15" t="s">
        <v>338</v>
      </c>
      <c r="P107" s="15"/>
      <c r="Q107" s="12">
        <v>104</v>
      </c>
      <c r="R107" s="15"/>
      <c r="S107" s="15"/>
      <c r="T107" s="15"/>
      <c r="U107" s="15"/>
      <c r="V107" s="22"/>
    </row>
    <row r="108" spans="1:22" s="21" customFormat="1" ht="15.75" customHeight="1" x14ac:dyDescent="0.25">
      <c r="A108" s="15" t="s">
        <v>347</v>
      </c>
      <c r="B108" s="15"/>
      <c r="C108" s="16"/>
      <c r="D108" s="17" t="s">
        <v>336</v>
      </c>
      <c r="E108" s="15" t="s">
        <v>348</v>
      </c>
      <c r="F108" s="15" t="s">
        <v>205</v>
      </c>
      <c r="G108" s="15" t="s">
        <v>30</v>
      </c>
      <c r="H108" s="15" t="s">
        <v>115</v>
      </c>
      <c r="I108" s="15" t="s">
        <v>308</v>
      </c>
      <c r="J108" s="15"/>
      <c r="K108" s="15"/>
      <c r="L108" s="13">
        <f ca="1">DATEDIF(J108, TODAY(), "m")</f>
        <v>1515</v>
      </c>
      <c r="M108" s="15"/>
      <c r="N108" s="15"/>
      <c r="O108" s="15" t="s">
        <v>349</v>
      </c>
      <c r="P108" s="15"/>
      <c r="Q108" s="12">
        <v>104</v>
      </c>
      <c r="R108" s="15"/>
      <c r="S108" s="15"/>
      <c r="T108" s="15"/>
      <c r="U108" s="15"/>
      <c r="V108" s="22"/>
    </row>
    <row r="109" spans="1:22" ht="15.75" customHeight="1" x14ac:dyDescent="0.25">
      <c r="A109" s="20" t="s">
        <v>350</v>
      </c>
      <c r="B109" s="21">
        <v>15</v>
      </c>
      <c r="C109" s="22" t="s">
        <v>81</v>
      </c>
      <c r="D109" s="26" t="s">
        <v>351</v>
      </c>
      <c r="E109" s="20" t="s">
        <v>352</v>
      </c>
      <c r="F109" s="20">
        <v>2025</v>
      </c>
      <c r="G109" s="20" t="s">
        <v>30</v>
      </c>
      <c r="H109" s="20">
        <v>567</v>
      </c>
      <c r="I109" s="24" t="s">
        <v>171</v>
      </c>
      <c r="J109" s="38">
        <v>45776</v>
      </c>
      <c r="L109" s="13">
        <f ca="1">DATEDIF(J109, TODAY(), "m")</f>
        <v>11</v>
      </c>
      <c r="N109" s="20"/>
      <c r="P109" s="27"/>
      <c r="Q109" s="12">
        <v>104</v>
      </c>
    </row>
    <row r="110" spans="1:22" ht="15.75" customHeight="1" x14ac:dyDescent="0.25">
      <c r="A110" s="20" t="s">
        <v>353</v>
      </c>
      <c r="B110" s="21">
        <v>16</v>
      </c>
      <c r="C110" s="22" t="s">
        <v>81</v>
      </c>
      <c r="D110" s="26" t="s">
        <v>351</v>
      </c>
      <c r="E110" s="20" t="s">
        <v>354</v>
      </c>
      <c r="F110" s="20">
        <v>2025</v>
      </c>
      <c r="G110" s="20" t="s">
        <v>30</v>
      </c>
      <c r="H110" s="20">
        <v>567</v>
      </c>
      <c r="I110" s="24" t="s">
        <v>171</v>
      </c>
      <c r="J110" s="38">
        <v>45776</v>
      </c>
      <c r="L110" s="13">
        <f ca="1">DATEDIF(J110, TODAY(), "m")</f>
        <v>11</v>
      </c>
      <c r="N110" s="20"/>
      <c r="P110" s="27"/>
      <c r="Q110" s="12">
        <v>104</v>
      </c>
    </row>
    <row r="111" spans="1:22" ht="15.75" customHeight="1" x14ac:dyDescent="0.25">
      <c r="A111" s="30" t="s">
        <v>355</v>
      </c>
      <c r="C111" s="22" t="s">
        <v>81</v>
      </c>
      <c r="D111" s="26" t="s">
        <v>356</v>
      </c>
      <c r="E111" s="40" t="s">
        <v>357</v>
      </c>
      <c r="F111" s="20">
        <v>2026</v>
      </c>
      <c r="G111" s="20"/>
      <c r="H111" s="20">
        <v>567</v>
      </c>
      <c r="I111" s="24" t="s">
        <v>358</v>
      </c>
      <c r="J111" s="38">
        <v>45941</v>
      </c>
      <c r="L111" s="13">
        <f ca="1">DATEDIF(J111, TODAY(), "m")</f>
        <v>5</v>
      </c>
      <c r="M111" s="21" t="s">
        <v>359</v>
      </c>
      <c r="N111" s="20"/>
      <c r="P111" s="27"/>
      <c r="Q111" s="12">
        <v>104</v>
      </c>
      <c r="V111" s="32" t="s">
        <v>218</v>
      </c>
    </row>
    <row r="112" spans="1:22" ht="15.75" customHeight="1" x14ac:dyDescent="0.25">
      <c r="A112" s="20" t="s">
        <v>360</v>
      </c>
      <c r="B112" s="21">
        <v>125</v>
      </c>
      <c r="C112" s="22" t="s">
        <v>81</v>
      </c>
      <c r="D112" s="26" t="s">
        <v>361</v>
      </c>
      <c r="E112" s="28" t="s">
        <v>362</v>
      </c>
      <c r="F112" s="20">
        <v>2025</v>
      </c>
      <c r="G112" s="20" t="s">
        <v>30</v>
      </c>
      <c r="H112" s="20" t="s">
        <v>31</v>
      </c>
      <c r="I112" s="24" t="s">
        <v>109</v>
      </c>
      <c r="L112" s="13">
        <f ca="1">DATEDIF(J112, TODAY(), "m")</f>
        <v>1515</v>
      </c>
      <c r="N112" s="20" t="s">
        <v>363</v>
      </c>
      <c r="Q112" s="12">
        <v>104</v>
      </c>
      <c r="U112" s="28"/>
    </row>
    <row r="113" spans="1:22" ht="15.75" customHeight="1" x14ac:dyDescent="0.25">
      <c r="A113" s="20" t="s">
        <v>364</v>
      </c>
      <c r="B113" s="21">
        <v>225</v>
      </c>
      <c r="C113" s="22" t="s">
        <v>81</v>
      </c>
      <c r="D113" s="26" t="s">
        <v>361</v>
      </c>
      <c r="E113" s="28" t="s">
        <v>365</v>
      </c>
      <c r="F113" s="20">
        <v>2025</v>
      </c>
      <c r="G113" s="20" t="s">
        <v>30</v>
      </c>
      <c r="H113" s="20" t="s">
        <v>31</v>
      </c>
      <c r="I113" s="24" t="s">
        <v>109</v>
      </c>
      <c r="L113" s="13">
        <f ca="1">DATEDIF(J113, TODAY(), "m")</f>
        <v>1515</v>
      </c>
      <c r="N113" s="20" t="s">
        <v>363</v>
      </c>
      <c r="Q113" s="12">
        <v>104</v>
      </c>
    </row>
    <row r="114" spans="1:22" ht="15.75" customHeight="1" x14ac:dyDescent="0.25">
      <c r="A114" s="20" t="s">
        <v>366</v>
      </c>
      <c r="B114" s="21">
        <v>325</v>
      </c>
      <c r="C114" s="22" t="s">
        <v>81</v>
      </c>
      <c r="D114" s="26" t="s">
        <v>361</v>
      </c>
      <c r="E114" s="28" t="s">
        <v>367</v>
      </c>
      <c r="F114" s="20">
        <v>2025</v>
      </c>
      <c r="G114" s="20" t="s">
        <v>30</v>
      </c>
      <c r="H114" s="20" t="s">
        <v>31</v>
      </c>
      <c r="I114" s="24" t="s">
        <v>109</v>
      </c>
      <c r="K114" s="21" t="s">
        <v>368</v>
      </c>
      <c r="L114" s="13">
        <f ca="1">DATEDIF(J114, TODAY(), "m")</f>
        <v>1515</v>
      </c>
      <c r="N114" s="20" t="s">
        <v>369</v>
      </c>
      <c r="Q114" s="12">
        <v>104</v>
      </c>
    </row>
    <row r="115" spans="1:22" ht="15.75" customHeight="1" x14ac:dyDescent="0.25">
      <c r="A115" s="20" t="s">
        <v>370</v>
      </c>
      <c r="B115" s="21">
        <v>425</v>
      </c>
      <c r="C115" s="22" t="s">
        <v>81</v>
      </c>
      <c r="D115" s="26" t="s">
        <v>361</v>
      </c>
      <c r="E115" s="28" t="s">
        <v>371</v>
      </c>
      <c r="F115" s="20">
        <v>2025</v>
      </c>
      <c r="G115" s="20" t="s">
        <v>30</v>
      </c>
      <c r="H115" s="20" t="s">
        <v>31</v>
      </c>
      <c r="I115" s="24" t="s">
        <v>109</v>
      </c>
      <c r="J115" s="38">
        <v>45680</v>
      </c>
      <c r="L115" s="13">
        <f ca="1">DATEDIF(J115, TODAY(), "m")</f>
        <v>14</v>
      </c>
      <c r="N115" s="20" t="s">
        <v>372</v>
      </c>
      <c r="Q115" s="12">
        <v>104</v>
      </c>
    </row>
    <row r="116" spans="1:22" ht="15.75" customHeight="1" x14ac:dyDescent="0.25">
      <c r="A116" s="21" t="s">
        <v>373</v>
      </c>
      <c r="B116" s="21" t="s">
        <v>374</v>
      </c>
      <c r="C116" s="22" t="s">
        <v>81</v>
      </c>
      <c r="D116" s="23" t="s">
        <v>375</v>
      </c>
      <c r="E116" s="27" t="s">
        <v>376</v>
      </c>
      <c r="F116" s="21">
        <v>2026</v>
      </c>
      <c r="G116" s="21" t="s">
        <v>30</v>
      </c>
      <c r="H116" s="21">
        <v>587</v>
      </c>
      <c r="I116" s="24"/>
      <c r="J116" s="38">
        <v>45903</v>
      </c>
      <c r="L116" s="13">
        <f ca="1">DATEDIF(J116, TODAY(), "m")</f>
        <v>7</v>
      </c>
      <c r="Q116" s="12">
        <v>104</v>
      </c>
    </row>
    <row r="117" spans="1:22" ht="15.75" customHeight="1" x14ac:dyDescent="0.25">
      <c r="A117" s="21" t="s">
        <v>377</v>
      </c>
      <c r="B117" s="21" t="s">
        <v>378</v>
      </c>
      <c r="C117" s="22" t="s">
        <v>81</v>
      </c>
      <c r="D117" s="23" t="s">
        <v>375</v>
      </c>
      <c r="E117" s="27" t="s">
        <v>379</v>
      </c>
      <c r="F117" s="21">
        <v>2026</v>
      </c>
      <c r="G117" s="21" t="s">
        <v>30</v>
      </c>
      <c r="H117" s="21">
        <v>589</v>
      </c>
      <c r="I117" s="24"/>
      <c r="J117" s="38">
        <v>45903</v>
      </c>
      <c r="L117" s="13">
        <f ca="1">DATEDIF(J117, TODAY(), "m")</f>
        <v>7</v>
      </c>
      <c r="N117" s="31"/>
      <c r="Q117" s="12">
        <v>104</v>
      </c>
    </row>
    <row r="118" spans="1:22" ht="15.75" customHeight="1" x14ac:dyDescent="0.25">
      <c r="A118" s="21" t="s">
        <v>380</v>
      </c>
      <c r="B118" s="21" t="s">
        <v>381</v>
      </c>
      <c r="C118" s="22" t="s">
        <v>81</v>
      </c>
      <c r="D118" s="23" t="s">
        <v>375</v>
      </c>
      <c r="E118" s="27" t="s">
        <v>382</v>
      </c>
      <c r="F118" s="21">
        <v>2026</v>
      </c>
      <c r="G118" s="21" t="s">
        <v>30</v>
      </c>
      <c r="H118" s="21">
        <v>589</v>
      </c>
      <c r="I118" s="24"/>
      <c r="J118" s="38">
        <v>45903</v>
      </c>
      <c r="L118" s="13">
        <f ca="1">DATEDIF(J118, TODAY(), "m")</f>
        <v>7</v>
      </c>
      <c r="Q118" s="12">
        <v>104</v>
      </c>
    </row>
    <row r="119" spans="1:22" ht="15.75" customHeight="1" x14ac:dyDescent="0.25">
      <c r="A119" s="21" t="s">
        <v>383</v>
      </c>
      <c r="B119" s="21" t="s">
        <v>384</v>
      </c>
      <c r="C119" s="22" t="s">
        <v>81</v>
      </c>
      <c r="D119" s="23" t="s">
        <v>375</v>
      </c>
      <c r="E119" s="27" t="s">
        <v>385</v>
      </c>
      <c r="F119" s="21">
        <v>2026</v>
      </c>
      <c r="G119" s="21" t="s">
        <v>30</v>
      </c>
      <c r="H119" s="21">
        <v>589</v>
      </c>
      <c r="I119" s="24"/>
      <c r="J119" s="38">
        <v>45903</v>
      </c>
      <c r="L119" s="13">
        <f ca="1">DATEDIF(J119, TODAY(), "m")</f>
        <v>7</v>
      </c>
      <c r="Q119" s="12">
        <v>104</v>
      </c>
    </row>
    <row r="120" spans="1:22" ht="15.75" customHeight="1" x14ac:dyDescent="0.25">
      <c r="A120" s="21" t="s">
        <v>386</v>
      </c>
      <c r="B120" s="21" t="s">
        <v>387</v>
      </c>
      <c r="C120" s="22" t="s">
        <v>81</v>
      </c>
      <c r="D120" s="23" t="s">
        <v>375</v>
      </c>
      <c r="E120" s="27" t="s">
        <v>388</v>
      </c>
      <c r="F120" s="21">
        <v>2026</v>
      </c>
      <c r="G120" s="21" t="s">
        <v>30</v>
      </c>
      <c r="H120" s="21">
        <v>567</v>
      </c>
      <c r="I120" s="24"/>
      <c r="J120" s="38">
        <v>45903</v>
      </c>
      <c r="L120" s="13">
        <f ca="1">DATEDIF(J120, TODAY(), "m")</f>
        <v>7</v>
      </c>
      <c r="Q120" s="12">
        <v>104</v>
      </c>
    </row>
    <row r="121" spans="1:22" ht="15.75" customHeight="1" x14ac:dyDescent="0.25">
      <c r="A121" s="21" t="s">
        <v>389</v>
      </c>
      <c r="B121" s="21" t="s">
        <v>390</v>
      </c>
      <c r="C121" s="22" t="s">
        <v>81</v>
      </c>
      <c r="D121" s="23" t="s">
        <v>375</v>
      </c>
      <c r="E121" s="27" t="s">
        <v>391</v>
      </c>
      <c r="F121" s="21">
        <v>2026</v>
      </c>
      <c r="G121" s="21" t="s">
        <v>30</v>
      </c>
      <c r="H121" s="21">
        <v>567</v>
      </c>
      <c r="I121" s="24"/>
      <c r="J121" s="38">
        <v>45903</v>
      </c>
      <c r="L121" s="13">
        <f ca="1">DATEDIF(J121, TODAY(), "m")</f>
        <v>7</v>
      </c>
      <c r="Q121" s="12">
        <v>104</v>
      </c>
    </row>
    <row r="122" spans="1:22" ht="15.75" customHeight="1" x14ac:dyDescent="0.25">
      <c r="A122" s="21" t="s">
        <v>392</v>
      </c>
      <c r="B122" s="21" t="s">
        <v>393</v>
      </c>
      <c r="C122" s="22" t="s">
        <v>81</v>
      </c>
      <c r="D122" s="23" t="s">
        <v>375</v>
      </c>
      <c r="E122" s="27" t="s">
        <v>394</v>
      </c>
      <c r="F122" s="21">
        <v>2026</v>
      </c>
      <c r="G122" s="21" t="s">
        <v>30</v>
      </c>
      <c r="H122" s="21">
        <v>567</v>
      </c>
      <c r="I122" s="24"/>
      <c r="J122" s="38">
        <v>45903</v>
      </c>
      <c r="L122" s="13">
        <f ca="1">DATEDIF(J122, TODAY(), "m")</f>
        <v>7</v>
      </c>
      <c r="Q122" s="12">
        <v>104</v>
      </c>
    </row>
    <row r="123" spans="1:22" ht="15.75" customHeight="1" x14ac:dyDescent="0.25">
      <c r="A123" s="30" t="s">
        <v>395</v>
      </c>
      <c r="C123" s="22" t="s">
        <v>81</v>
      </c>
      <c r="D123" s="23" t="s">
        <v>356</v>
      </c>
      <c r="E123" s="40" t="s">
        <v>396</v>
      </c>
      <c r="F123" s="21">
        <v>2026</v>
      </c>
      <c r="H123" s="21">
        <v>567</v>
      </c>
      <c r="I123" s="24" t="s">
        <v>358</v>
      </c>
      <c r="J123" s="38">
        <v>45941</v>
      </c>
      <c r="L123" s="13">
        <f ca="1">DATEDIF(J123, TODAY(), "m")</f>
        <v>5</v>
      </c>
      <c r="M123" s="27" t="s">
        <v>397</v>
      </c>
      <c r="Q123" s="12">
        <v>104</v>
      </c>
      <c r="V123" s="32" t="s">
        <v>218</v>
      </c>
    </row>
    <row r="124" spans="1:22" ht="15.75" customHeight="1" x14ac:dyDescent="0.25">
      <c r="A124" s="21" t="s">
        <v>398</v>
      </c>
      <c r="D124" s="23" t="s">
        <v>399</v>
      </c>
      <c r="E124" s="21" t="s">
        <v>400</v>
      </c>
      <c r="G124" s="21" t="s">
        <v>30</v>
      </c>
      <c r="H124" s="21">
        <v>589</v>
      </c>
      <c r="I124" s="24"/>
      <c r="L124" s="13">
        <f ca="1">DATEDIF(J124, TODAY(), "m")</f>
        <v>1515</v>
      </c>
      <c r="Q124" s="12">
        <v>104</v>
      </c>
      <c r="V124" s="22" t="s">
        <v>401</v>
      </c>
    </row>
    <row r="125" spans="1:22" ht="15.75" customHeight="1" x14ac:dyDescent="0.25">
      <c r="A125" s="27" t="s">
        <v>402</v>
      </c>
      <c r="C125" s="22" t="s">
        <v>81</v>
      </c>
      <c r="D125" s="23" t="s">
        <v>403</v>
      </c>
      <c r="E125" s="27" t="s">
        <v>404</v>
      </c>
      <c r="F125" s="21">
        <v>2027</v>
      </c>
      <c r="G125" s="21" t="s">
        <v>26</v>
      </c>
      <c r="H125" s="21">
        <v>567</v>
      </c>
      <c r="I125" s="24"/>
      <c r="L125" s="13"/>
      <c r="Q125" s="12">
        <v>104</v>
      </c>
    </row>
    <row r="126" spans="1:22" s="15" customFormat="1" ht="15.75" customHeight="1" x14ac:dyDescent="0.25">
      <c r="A126" s="27" t="s">
        <v>405</v>
      </c>
      <c r="B126" s="21"/>
      <c r="C126" s="22" t="s">
        <v>81</v>
      </c>
      <c r="D126" s="23" t="s">
        <v>403</v>
      </c>
      <c r="E126" s="27" t="s">
        <v>406</v>
      </c>
      <c r="F126" s="21">
        <v>2027</v>
      </c>
      <c r="G126" s="21" t="s">
        <v>26</v>
      </c>
      <c r="H126" s="21">
        <v>567</v>
      </c>
      <c r="I126" s="24"/>
      <c r="J126" s="21"/>
      <c r="K126" s="21"/>
      <c r="L126" s="13"/>
      <c r="M126" s="21"/>
      <c r="N126" s="21"/>
      <c r="O126" s="21"/>
      <c r="P126" s="21"/>
      <c r="Q126" s="12">
        <v>104</v>
      </c>
      <c r="R126" s="21"/>
      <c r="S126" s="21"/>
      <c r="T126" s="21"/>
      <c r="U126" s="21"/>
      <c r="V126" s="22"/>
    </row>
    <row r="127" spans="1:22" s="15" customFormat="1" ht="15.75" customHeight="1" x14ac:dyDescent="0.25">
      <c r="A127" s="27" t="s">
        <v>407</v>
      </c>
      <c r="B127" s="21"/>
      <c r="C127" s="22" t="s">
        <v>81</v>
      </c>
      <c r="D127" s="23" t="s">
        <v>403</v>
      </c>
      <c r="E127" s="27" t="s">
        <v>408</v>
      </c>
      <c r="F127" s="21">
        <v>2027</v>
      </c>
      <c r="G127" s="21" t="s">
        <v>26</v>
      </c>
      <c r="H127" s="21">
        <v>567</v>
      </c>
      <c r="I127" s="24"/>
      <c r="J127" s="21"/>
      <c r="K127" s="21"/>
      <c r="L127" s="13"/>
      <c r="M127" s="21"/>
      <c r="N127" s="21"/>
      <c r="O127" s="21"/>
      <c r="P127" s="21"/>
      <c r="Q127" s="12">
        <v>104</v>
      </c>
      <c r="R127" s="21"/>
      <c r="S127" s="21"/>
      <c r="T127" s="21"/>
      <c r="U127" s="21"/>
      <c r="V127" s="22"/>
    </row>
    <row r="128" spans="1:22" s="15" customFormat="1" ht="15.75" customHeight="1" x14ac:dyDescent="0.25">
      <c r="A128" s="27" t="s">
        <v>409</v>
      </c>
      <c r="B128" s="21"/>
      <c r="C128" s="22" t="s">
        <v>81</v>
      </c>
      <c r="D128" s="23" t="s">
        <v>403</v>
      </c>
      <c r="E128" s="27" t="s">
        <v>410</v>
      </c>
      <c r="F128" s="21">
        <v>2027</v>
      </c>
      <c r="G128" s="21" t="s">
        <v>26</v>
      </c>
      <c r="H128" s="21">
        <v>567</v>
      </c>
      <c r="I128" s="24"/>
      <c r="J128" s="21"/>
      <c r="K128" s="21"/>
      <c r="L128" s="13"/>
      <c r="M128" s="21"/>
      <c r="N128" s="21"/>
      <c r="O128" s="21"/>
      <c r="P128" s="21"/>
      <c r="Q128" s="12">
        <v>104</v>
      </c>
      <c r="R128" s="21"/>
      <c r="S128" s="21"/>
      <c r="T128" s="21"/>
      <c r="U128" s="21"/>
      <c r="V128" s="22"/>
    </row>
    <row r="129" spans="1:22" s="15" customFormat="1" ht="15.75" customHeight="1" x14ac:dyDescent="0.25">
      <c r="A129" s="27" t="s">
        <v>411</v>
      </c>
      <c r="B129" s="21"/>
      <c r="C129" s="22" t="s">
        <v>81</v>
      </c>
      <c r="D129" s="23" t="s">
        <v>403</v>
      </c>
      <c r="E129" s="27"/>
      <c r="F129" s="21"/>
      <c r="G129" s="21"/>
      <c r="H129" s="21"/>
      <c r="I129" s="24"/>
      <c r="J129" s="21"/>
      <c r="K129" s="21"/>
      <c r="L129" s="13"/>
      <c r="M129" s="21"/>
      <c r="N129" s="21"/>
      <c r="O129" s="21"/>
      <c r="P129" s="21"/>
      <c r="Q129" s="12"/>
      <c r="R129" s="21"/>
      <c r="S129" s="21"/>
      <c r="T129" s="21"/>
      <c r="U129" s="21"/>
      <c r="V129" s="22"/>
    </row>
    <row r="130" spans="1:22" s="15" customFormat="1" ht="15.75" customHeight="1" x14ac:dyDescent="0.25">
      <c r="A130" s="27" t="s">
        <v>412</v>
      </c>
      <c r="B130" s="21"/>
      <c r="C130" s="22" t="s">
        <v>81</v>
      </c>
      <c r="D130" s="23" t="s">
        <v>403</v>
      </c>
      <c r="E130" s="27"/>
      <c r="F130" s="21"/>
      <c r="G130" s="21"/>
      <c r="H130" s="21"/>
      <c r="I130" s="24"/>
      <c r="J130" s="21"/>
      <c r="K130" s="21"/>
      <c r="L130" s="13"/>
      <c r="M130" s="21"/>
      <c r="N130" s="21"/>
      <c r="O130" s="21"/>
      <c r="P130" s="21"/>
      <c r="Q130" s="12"/>
      <c r="R130" s="21"/>
      <c r="S130" s="21"/>
      <c r="T130" s="21"/>
      <c r="U130" s="21"/>
      <c r="V130" s="22"/>
    </row>
    <row r="131" spans="1:22" s="15" customFormat="1" ht="15.75" customHeight="1" x14ac:dyDescent="0.25">
      <c r="A131" s="27" t="s">
        <v>413</v>
      </c>
      <c r="B131" s="21"/>
      <c r="C131" s="22" t="s">
        <v>81</v>
      </c>
      <c r="D131" s="23" t="s">
        <v>403</v>
      </c>
      <c r="E131" s="27"/>
      <c r="F131" s="21"/>
      <c r="G131" s="21"/>
      <c r="H131" s="21"/>
      <c r="I131" s="24"/>
      <c r="J131" s="21"/>
      <c r="K131" s="21"/>
      <c r="L131" s="13"/>
      <c r="M131" s="21"/>
      <c r="N131" s="21"/>
      <c r="O131" s="21"/>
      <c r="P131" s="21"/>
      <c r="Q131" s="12"/>
      <c r="R131" s="21"/>
      <c r="S131" s="21"/>
      <c r="T131" s="21"/>
      <c r="U131" s="21"/>
      <c r="V131" s="22"/>
    </row>
    <row r="132" spans="1:22" s="15" customFormat="1" ht="15.75" customHeight="1" x14ac:dyDescent="0.25">
      <c r="A132" s="27" t="s">
        <v>414</v>
      </c>
      <c r="B132" s="21"/>
      <c r="C132" s="22" t="s">
        <v>81</v>
      </c>
      <c r="D132" s="23" t="s">
        <v>403</v>
      </c>
      <c r="E132" s="27"/>
      <c r="F132" s="21"/>
      <c r="G132" s="21"/>
      <c r="H132" s="21"/>
      <c r="I132" s="24"/>
      <c r="J132" s="21"/>
      <c r="K132" s="21"/>
      <c r="L132" s="13"/>
      <c r="M132" s="21"/>
      <c r="N132" s="21"/>
      <c r="O132" s="21"/>
      <c r="P132" s="21"/>
      <c r="Q132" s="12"/>
      <c r="R132" s="21"/>
      <c r="S132" s="21"/>
      <c r="T132" s="21"/>
      <c r="U132" s="21"/>
      <c r="V132" s="22"/>
    </row>
    <row r="133" spans="1:22" s="15" customFormat="1" ht="15.75" customHeight="1" x14ac:dyDescent="0.25">
      <c r="A133" s="27" t="s">
        <v>415</v>
      </c>
      <c r="B133" s="21"/>
      <c r="C133" s="22" t="s">
        <v>81</v>
      </c>
      <c r="D133" s="23" t="s">
        <v>403</v>
      </c>
      <c r="E133" s="27"/>
      <c r="F133" s="21"/>
      <c r="G133" s="21"/>
      <c r="H133" s="21"/>
      <c r="I133" s="24"/>
      <c r="J133" s="21"/>
      <c r="K133" s="21"/>
      <c r="L133" s="13"/>
      <c r="M133" s="21"/>
      <c r="N133" s="21"/>
      <c r="O133" s="21"/>
      <c r="P133" s="21"/>
      <c r="Q133" s="12"/>
      <c r="R133" s="21"/>
      <c r="S133" s="21"/>
      <c r="T133" s="21"/>
      <c r="U133" s="21"/>
      <c r="V133" s="22"/>
    </row>
    <row r="134" spans="1:22" s="15" customFormat="1" ht="15.75" customHeight="1" x14ac:dyDescent="0.25">
      <c r="A134" s="27" t="s">
        <v>416</v>
      </c>
      <c r="B134" s="21"/>
      <c r="C134" s="22" t="s">
        <v>81</v>
      </c>
      <c r="D134" s="23" t="s">
        <v>403</v>
      </c>
      <c r="E134" s="27"/>
      <c r="F134" s="21"/>
      <c r="G134" s="21"/>
      <c r="H134" s="21"/>
      <c r="I134" s="24"/>
      <c r="J134" s="21"/>
      <c r="K134" s="21"/>
      <c r="L134" s="13"/>
      <c r="M134" s="21"/>
      <c r="N134" s="21"/>
      <c r="O134" s="21"/>
      <c r="P134" s="21"/>
      <c r="Q134" s="12"/>
      <c r="R134" s="21"/>
      <c r="S134" s="21"/>
      <c r="T134" s="21"/>
      <c r="U134" s="21"/>
      <c r="V134" s="22"/>
    </row>
    <row r="135" spans="1:22" s="15" customFormat="1" ht="15.75" customHeight="1" x14ac:dyDescent="0.25">
      <c r="A135" s="27" t="s">
        <v>417</v>
      </c>
      <c r="B135" s="21"/>
      <c r="C135" s="22" t="s">
        <v>81</v>
      </c>
      <c r="D135" s="23" t="s">
        <v>403</v>
      </c>
      <c r="E135" s="27"/>
      <c r="F135" s="21"/>
      <c r="G135" s="21"/>
      <c r="H135" s="21"/>
      <c r="I135" s="24"/>
      <c r="J135" s="21"/>
      <c r="K135" s="21"/>
      <c r="L135" s="13"/>
      <c r="M135" s="21"/>
      <c r="N135" s="21"/>
      <c r="O135" s="21"/>
      <c r="P135" s="21"/>
      <c r="Q135" s="12"/>
      <c r="R135" s="21"/>
      <c r="S135" s="21"/>
      <c r="T135" s="21"/>
      <c r="U135" s="21"/>
      <c r="V135" s="22"/>
    </row>
    <row r="136" spans="1:22" s="15" customFormat="1" ht="15.75" customHeight="1" x14ac:dyDescent="0.25">
      <c r="A136" s="27" t="s">
        <v>418</v>
      </c>
      <c r="B136" s="21"/>
      <c r="C136" s="22" t="s">
        <v>81</v>
      </c>
      <c r="D136" s="23" t="s">
        <v>403</v>
      </c>
      <c r="E136" s="27"/>
      <c r="F136" s="21"/>
      <c r="G136" s="21"/>
      <c r="H136" s="21"/>
      <c r="I136" s="24"/>
      <c r="J136" s="21"/>
      <c r="K136" s="21"/>
      <c r="L136" s="13"/>
      <c r="M136" s="21"/>
      <c r="N136" s="21"/>
      <c r="O136" s="21"/>
      <c r="P136" s="21"/>
      <c r="Q136" s="12"/>
      <c r="R136" s="21"/>
      <c r="S136" s="21"/>
      <c r="T136" s="21"/>
      <c r="U136" s="21"/>
      <c r="V136" s="22"/>
    </row>
    <row r="137" spans="1:22" ht="15.75" customHeight="1" x14ac:dyDescent="0.25">
      <c r="A137" s="27" t="s">
        <v>419</v>
      </c>
      <c r="C137" s="22" t="s">
        <v>81</v>
      </c>
      <c r="D137" s="23" t="s">
        <v>403</v>
      </c>
      <c r="E137" s="27"/>
      <c r="I137" s="24"/>
      <c r="L137" s="13"/>
      <c r="Q137" s="12"/>
    </row>
    <row r="138" spans="1:22" ht="15.75" customHeight="1" x14ac:dyDescent="0.25">
      <c r="A138" s="27" t="s">
        <v>420</v>
      </c>
      <c r="C138" s="22" t="s">
        <v>81</v>
      </c>
      <c r="D138" s="23" t="s">
        <v>356</v>
      </c>
      <c r="E138" s="27"/>
      <c r="I138" s="24"/>
      <c r="L138" s="13"/>
      <c r="Q138" s="12"/>
    </row>
    <row r="139" spans="1:22" ht="15.75" customHeight="1" x14ac:dyDescent="0.25">
      <c r="A139" s="27" t="s">
        <v>421</v>
      </c>
      <c r="C139" s="22" t="s">
        <v>81</v>
      </c>
      <c r="D139" s="23" t="s">
        <v>356</v>
      </c>
      <c r="E139" s="27"/>
      <c r="I139" s="24"/>
      <c r="L139" s="13"/>
      <c r="Q139" s="12"/>
    </row>
    <row r="140" spans="1:22" ht="15.75" customHeight="1" x14ac:dyDescent="0.25">
      <c r="A140" s="27" t="s">
        <v>422</v>
      </c>
      <c r="C140" s="22" t="s">
        <v>81</v>
      </c>
      <c r="D140" s="23" t="s">
        <v>356</v>
      </c>
      <c r="E140" s="27"/>
      <c r="I140" s="24"/>
      <c r="L140" s="13"/>
      <c r="Q140" s="12"/>
    </row>
    <row r="141" spans="1:22" ht="15.75" customHeight="1" x14ac:dyDescent="0.25">
      <c r="A141" s="27" t="s">
        <v>423</v>
      </c>
      <c r="C141" s="22" t="s">
        <v>81</v>
      </c>
      <c r="D141" s="23" t="s">
        <v>356</v>
      </c>
      <c r="E141" s="27"/>
      <c r="I141" s="24"/>
      <c r="L141" s="13"/>
      <c r="Q141" s="12"/>
    </row>
    <row r="142" spans="1:22" ht="15.75" customHeight="1" x14ac:dyDescent="0.25">
      <c r="A142" s="27" t="s">
        <v>424</v>
      </c>
      <c r="C142" s="22" t="s">
        <v>81</v>
      </c>
      <c r="D142" s="23" t="s">
        <v>356</v>
      </c>
      <c r="E142" s="27"/>
      <c r="I142" s="24"/>
      <c r="L142" s="13"/>
      <c r="Q142" s="12"/>
    </row>
    <row r="143" spans="1:22" ht="15.75" customHeight="1" x14ac:dyDescent="0.25">
      <c r="A143" s="20" t="s">
        <v>425</v>
      </c>
      <c r="C143" s="22" t="s">
        <v>81</v>
      </c>
      <c r="D143" s="26" t="s">
        <v>426</v>
      </c>
      <c r="E143" s="20" t="s">
        <v>427</v>
      </c>
      <c r="F143" s="20" t="s">
        <v>29</v>
      </c>
      <c r="G143" s="20" t="s">
        <v>30</v>
      </c>
      <c r="H143" s="20" t="s">
        <v>31</v>
      </c>
      <c r="I143" s="24" t="s">
        <v>109</v>
      </c>
      <c r="J143" s="25">
        <v>43784</v>
      </c>
      <c r="K143" s="25">
        <v>45976</v>
      </c>
      <c r="L143" s="13">
        <f ca="1">DATEDIF(J143, TODAY(), "m")</f>
        <v>76</v>
      </c>
      <c r="M143" s="25"/>
      <c r="N143" s="20"/>
      <c r="P143" s="27" t="s">
        <v>428</v>
      </c>
      <c r="Q143" s="12">
        <v>104</v>
      </c>
    </row>
    <row r="144" spans="1:22" ht="15.75" customHeight="1" x14ac:dyDescent="0.25">
      <c r="A144" s="30" t="s">
        <v>429</v>
      </c>
      <c r="C144" s="22" t="s">
        <v>81</v>
      </c>
      <c r="D144" s="23" t="s">
        <v>426</v>
      </c>
      <c r="E144" s="21" t="s">
        <v>430</v>
      </c>
      <c r="F144" s="21" t="s">
        <v>29</v>
      </c>
      <c r="G144" s="21" t="s">
        <v>30</v>
      </c>
      <c r="H144" s="21" t="s">
        <v>31</v>
      </c>
      <c r="I144" s="24" t="s">
        <v>109</v>
      </c>
      <c r="J144" s="25">
        <v>43784</v>
      </c>
      <c r="K144" s="25">
        <v>45976</v>
      </c>
      <c r="L144" s="13">
        <f ca="1">DATEDIF(J144, TODAY(), "m")</f>
        <v>76</v>
      </c>
      <c r="M144" s="25"/>
      <c r="P144" s="27" t="s">
        <v>431</v>
      </c>
      <c r="Q144" s="12">
        <v>104</v>
      </c>
      <c r="V144" s="32" t="s">
        <v>218</v>
      </c>
    </row>
    <row r="145" spans="1:22" ht="15.75" customHeight="1" x14ac:dyDescent="0.25">
      <c r="A145" s="20" t="s">
        <v>432</v>
      </c>
      <c r="C145" s="22" t="s">
        <v>81</v>
      </c>
      <c r="D145" s="26" t="s">
        <v>426</v>
      </c>
      <c r="E145" s="20" t="s">
        <v>433</v>
      </c>
      <c r="F145" s="20" t="s">
        <v>29</v>
      </c>
      <c r="G145" s="20" t="s">
        <v>30</v>
      </c>
      <c r="H145" s="20" t="s">
        <v>31</v>
      </c>
      <c r="I145" s="24" t="s">
        <v>109</v>
      </c>
      <c r="J145" s="25">
        <v>43784</v>
      </c>
      <c r="K145" s="25">
        <v>45976</v>
      </c>
      <c r="L145" s="13">
        <f ca="1">DATEDIF(J145, TODAY(), "m")</f>
        <v>76</v>
      </c>
      <c r="M145" s="25"/>
      <c r="N145" s="20"/>
      <c r="P145" s="27" t="s">
        <v>434</v>
      </c>
      <c r="Q145" s="12">
        <v>104</v>
      </c>
    </row>
    <row r="146" spans="1:22" ht="15.75" customHeight="1" x14ac:dyDescent="0.25">
      <c r="A146" s="21" t="s">
        <v>435</v>
      </c>
      <c r="B146" s="21">
        <v>35</v>
      </c>
      <c r="C146" s="22" t="s">
        <v>81</v>
      </c>
      <c r="D146" s="23" t="s">
        <v>436</v>
      </c>
      <c r="E146" s="21" t="s">
        <v>437</v>
      </c>
      <c r="F146" s="21" t="s">
        <v>327</v>
      </c>
      <c r="G146" s="21" t="s">
        <v>30</v>
      </c>
      <c r="H146" s="21" t="s">
        <v>31</v>
      </c>
      <c r="I146" s="24" t="s">
        <v>308</v>
      </c>
      <c r="J146" s="25">
        <v>44561</v>
      </c>
      <c r="K146" s="25">
        <v>46387</v>
      </c>
      <c r="L146" s="13">
        <f ca="1">DATEDIF(J146, TODAY(), "m")</f>
        <v>51</v>
      </c>
      <c r="M146" s="25"/>
      <c r="Q146" s="12">
        <v>104</v>
      </c>
      <c r="V146" s="16"/>
    </row>
    <row r="147" spans="1:22" ht="15.75" customHeight="1" x14ac:dyDescent="0.25">
      <c r="A147" s="20" t="s">
        <v>438</v>
      </c>
      <c r="B147" s="21">
        <v>36</v>
      </c>
      <c r="C147" s="22" t="s">
        <v>81</v>
      </c>
      <c r="D147" s="26" t="s">
        <v>436</v>
      </c>
      <c r="E147" s="20" t="s">
        <v>439</v>
      </c>
      <c r="F147" s="20" t="s">
        <v>327</v>
      </c>
      <c r="G147" s="20" t="s">
        <v>30</v>
      </c>
      <c r="H147" s="20" t="s">
        <v>31</v>
      </c>
      <c r="I147" s="24" t="s">
        <v>308</v>
      </c>
      <c r="J147" s="25">
        <v>44561</v>
      </c>
      <c r="K147" s="25">
        <v>46387</v>
      </c>
      <c r="L147" s="13">
        <f ca="1">DATEDIF(J147, TODAY(), "m")</f>
        <v>51</v>
      </c>
      <c r="M147" s="25"/>
      <c r="N147" s="20"/>
      <c r="Q147" s="12">
        <v>104</v>
      </c>
      <c r="V147" s="16" t="s">
        <v>338</v>
      </c>
    </row>
    <row r="148" spans="1:22" ht="15.75" customHeight="1" x14ac:dyDescent="0.25">
      <c r="A148" s="21" t="s">
        <v>440</v>
      </c>
      <c r="B148" s="21">
        <v>37</v>
      </c>
      <c r="C148" s="22" t="s">
        <v>81</v>
      </c>
      <c r="D148" s="23" t="s">
        <v>436</v>
      </c>
      <c r="E148" s="21" t="s">
        <v>441</v>
      </c>
      <c r="F148" s="21" t="s">
        <v>327</v>
      </c>
      <c r="G148" s="21" t="s">
        <v>30</v>
      </c>
      <c r="H148" s="21" t="s">
        <v>31</v>
      </c>
      <c r="I148" s="24" t="s">
        <v>308</v>
      </c>
      <c r="J148" s="25">
        <v>44561</v>
      </c>
      <c r="K148" s="25">
        <v>46387</v>
      </c>
      <c r="L148" s="13">
        <f ca="1">DATEDIF(J148, TODAY(), "m")</f>
        <v>51</v>
      </c>
      <c r="M148" s="25"/>
      <c r="Q148" s="12">
        <v>104</v>
      </c>
    </row>
    <row r="149" spans="1:22" ht="15.75" customHeight="1" x14ac:dyDescent="0.25">
      <c r="A149" s="20" t="s">
        <v>442</v>
      </c>
      <c r="B149" s="21">
        <v>38</v>
      </c>
      <c r="C149" s="22" t="s">
        <v>81</v>
      </c>
      <c r="D149" s="26" t="s">
        <v>436</v>
      </c>
      <c r="E149" s="20" t="s">
        <v>443</v>
      </c>
      <c r="F149" s="20" t="s">
        <v>327</v>
      </c>
      <c r="G149" s="20" t="s">
        <v>30</v>
      </c>
      <c r="H149" s="20" t="s">
        <v>31</v>
      </c>
      <c r="I149" s="24" t="s">
        <v>308</v>
      </c>
      <c r="J149" s="25">
        <v>44561</v>
      </c>
      <c r="K149" s="25">
        <v>46387</v>
      </c>
      <c r="L149" s="13">
        <f ca="1">DATEDIF(J149, TODAY(), "m")</f>
        <v>51</v>
      </c>
      <c r="M149" s="25"/>
      <c r="N149" s="20"/>
      <c r="Q149" s="12">
        <v>104</v>
      </c>
    </row>
    <row r="150" spans="1:22" ht="15.75" customHeight="1" x14ac:dyDescent="0.25">
      <c r="A150" s="21" t="s">
        <v>444</v>
      </c>
      <c r="B150" s="21">
        <v>39</v>
      </c>
      <c r="C150" s="22" t="s">
        <v>81</v>
      </c>
      <c r="D150" s="23" t="s">
        <v>436</v>
      </c>
      <c r="E150" s="21" t="s">
        <v>445</v>
      </c>
      <c r="F150" s="21" t="s">
        <v>327</v>
      </c>
      <c r="G150" s="21" t="s">
        <v>30</v>
      </c>
      <c r="H150" s="21" t="s">
        <v>31</v>
      </c>
      <c r="I150" s="24" t="s">
        <v>308</v>
      </c>
      <c r="J150" s="25">
        <v>44561</v>
      </c>
      <c r="K150" s="25">
        <v>46387</v>
      </c>
      <c r="L150" s="13">
        <f ca="1">DATEDIF(J150, TODAY(), "m")</f>
        <v>51</v>
      </c>
      <c r="M150" s="25"/>
      <c r="Q150" s="12">
        <v>104</v>
      </c>
    </row>
    <row r="151" spans="1:22" ht="15.75" customHeight="1" x14ac:dyDescent="0.25">
      <c r="A151" s="20" t="s">
        <v>446</v>
      </c>
      <c r="C151" s="22" t="s">
        <v>81</v>
      </c>
      <c r="D151" s="26" t="s">
        <v>426</v>
      </c>
      <c r="E151" s="20" t="s">
        <v>447</v>
      </c>
      <c r="F151" s="20" t="s">
        <v>205</v>
      </c>
      <c r="G151" s="20" t="s">
        <v>30</v>
      </c>
      <c r="H151" s="20" t="s">
        <v>31</v>
      </c>
      <c r="I151" s="24" t="s">
        <v>109</v>
      </c>
      <c r="J151" s="25">
        <v>44710</v>
      </c>
      <c r="K151" s="25">
        <v>46536</v>
      </c>
      <c r="L151" s="13">
        <f ca="1">DATEDIF(J151, TODAY(), "m")</f>
        <v>46</v>
      </c>
      <c r="M151" s="25"/>
      <c r="N151" s="20"/>
      <c r="Q151" s="12">
        <v>104</v>
      </c>
    </row>
    <row r="152" spans="1:22" s="15" customFormat="1" ht="15.75" customHeight="1" x14ac:dyDescent="0.25">
      <c r="A152" s="21" t="s">
        <v>448</v>
      </c>
      <c r="B152" s="21"/>
      <c r="C152" s="22" t="s">
        <v>81</v>
      </c>
      <c r="D152" s="23" t="s">
        <v>449</v>
      </c>
      <c r="E152" s="21" t="s">
        <v>450</v>
      </c>
      <c r="F152" s="21" t="s">
        <v>44</v>
      </c>
      <c r="G152" s="21" t="s">
        <v>30</v>
      </c>
      <c r="H152" s="21" t="s">
        <v>115</v>
      </c>
      <c r="I152" s="24" t="s">
        <v>109</v>
      </c>
      <c r="J152" s="25">
        <v>45047</v>
      </c>
      <c r="K152" s="25">
        <v>46508</v>
      </c>
      <c r="L152" s="13">
        <f ca="1">DATEDIF(J152, TODAY(), "m")</f>
        <v>35</v>
      </c>
      <c r="M152" s="25"/>
      <c r="N152" s="21"/>
      <c r="O152" s="21"/>
      <c r="P152" s="21"/>
      <c r="Q152" s="12">
        <v>104</v>
      </c>
      <c r="R152" s="21" t="s">
        <v>88</v>
      </c>
      <c r="S152" s="21"/>
      <c r="T152" s="21"/>
      <c r="U152" s="21"/>
      <c r="V152" s="22"/>
    </row>
    <row r="153" spans="1:22" ht="15.75" customHeight="1" x14ac:dyDescent="0.25">
      <c r="A153" s="41" t="s">
        <v>451</v>
      </c>
      <c r="B153" s="41"/>
      <c r="C153" s="42"/>
      <c r="D153" s="43" t="s">
        <v>449</v>
      </c>
      <c r="E153" s="41" t="s">
        <v>452</v>
      </c>
      <c r="F153" s="41" t="s">
        <v>44</v>
      </c>
      <c r="G153" s="41" t="s">
        <v>30</v>
      </c>
      <c r="H153" s="41" t="s">
        <v>115</v>
      </c>
      <c r="I153" s="41" t="s">
        <v>109</v>
      </c>
      <c r="J153" s="44">
        <v>45245</v>
      </c>
      <c r="K153" s="44">
        <v>46706</v>
      </c>
      <c r="L153" s="13">
        <f ca="1">DATEDIF(J153, TODAY(), "m")</f>
        <v>28</v>
      </c>
      <c r="M153" s="44"/>
      <c r="N153" s="41"/>
      <c r="O153" s="41"/>
      <c r="P153" s="41"/>
      <c r="Q153" s="12">
        <v>104</v>
      </c>
      <c r="R153" s="41" t="s">
        <v>88</v>
      </c>
      <c r="S153" s="41"/>
      <c r="T153" s="41"/>
      <c r="U153" s="41"/>
      <c r="V153" s="16" t="s">
        <v>338</v>
      </c>
    </row>
    <row r="154" spans="1:22" ht="15.75" customHeight="1" x14ac:dyDescent="0.25">
      <c r="A154" s="21" t="s">
        <v>453</v>
      </c>
      <c r="C154" s="22" t="s">
        <v>81</v>
      </c>
      <c r="D154" s="23" t="s">
        <v>454</v>
      </c>
      <c r="E154" s="21" t="s">
        <v>455</v>
      </c>
      <c r="F154" s="21" t="s">
        <v>148</v>
      </c>
      <c r="G154" s="21" t="s">
        <v>30</v>
      </c>
      <c r="H154" s="21" t="s">
        <v>31</v>
      </c>
      <c r="I154" s="24" t="s">
        <v>109</v>
      </c>
      <c r="J154" s="25">
        <v>45351</v>
      </c>
      <c r="K154" s="25">
        <v>47542</v>
      </c>
      <c r="L154" s="13">
        <f ca="1">DATEDIF(J154, TODAY(), "m")</f>
        <v>25</v>
      </c>
      <c r="M154" s="25"/>
      <c r="Q154" s="12">
        <v>104</v>
      </c>
      <c r="R154" s="21" t="s">
        <v>89</v>
      </c>
    </row>
    <row r="155" spans="1:22" ht="15.75" customHeight="1" x14ac:dyDescent="0.25">
      <c r="A155" s="20" t="s">
        <v>456</v>
      </c>
      <c r="C155" s="22" t="s">
        <v>81</v>
      </c>
      <c r="D155" s="26" t="s">
        <v>426</v>
      </c>
      <c r="E155" s="28" t="s">
        <v>457</v>
      </c>
      <c r="F155" s="20">
        <v>2025</v>
      </c>
      <c r="G155" s="20" t="s">
        <v>30</v>
      </c>
      <c r="H155" s="20">
        <v>579</v>
      </c>
      <c r="I155" s="24" t="s">
        <v>171</v>
      </c>
      <c r="J155" s="25">
        <v>45535</v>
      </c>
      <c r="K155" s="25">
        <v>47361</v>
      </c>
      <c r="L155" s="13">
        <f ca="1">DATEDIF(J155, TODAY(), "m")</f>
        <v>19</v>
      </c>
      <c r="M155" s="25"/>
      <c r="N155" s="20"/>
      <c r="Q155" s="12">
        <v>104</v>
      </c>
    </row>
    <row r="156" spans="1:22" s="15" customFormat="1" ht="15.75" customHeight="1" x14ac:dyDescent="0.25">
      <c r="A156" s="20" t="s">
        <v>458</v>
      </c>
      <c r="B156" s="21"/>
      <c r="C156" s="22" t="s">
        <v>81</v>
      </c>
      <c r="D156" s="45" t="s">
        <v>459</v>
      </c>
      <c r="E156" s="46" t="s">
        <v>460</v>
      </c>
      <c r="F156" s="46" t="s">
        <v>44</v>
      </c>
      <c r="G156" s="46" t="s">
        <v>30</v>
      </c>
      <c r="H156" s="46" t="s">
        <v>115</v>
      </c>
      <c r="I156" s="24" t="s">
        <v>171</v>
      </c>
      <c r="J156" s="25">
        <v>45442</v>
      </c>
      <c r="K156" s="25">
        <v>47633</v>
      </c>
      <c r="L156" s="13">
        <f ca="1">DATEDIF(J156, TODAY(), "m")</f>
        <v>22</v>
      </c>
      <c r="M156" s="25"/>
      <c r="N156" s="46"/>
      <c r="O156" s="21"/>
      <c r="P156" s="27" t="s">
        <v>461</v>
      </c>
      <c r="Q156" s="12">
        <v>104</v>
      </c>
      <c r="R156" s="21"/>
      <c r="S156" s="21"/>
      <c r="T156" s="21"/>
      <c r="U156" s="21"/>
      <c r="V156" s="22"/>
    </row>
    <row r="157" spans="1:22" s="15" customFormat="1" ht="15.75" customHeight="1" x14ac:dyDescent="0.25">
      <c r="A157" s="15" t="s">
        <v>462</v>
      </c>
      <c r="C157" s="16"/>
      <c r="D157" s="47" t="s">
        <v>459</v>
      </c>
      <c r="E157" s="48" t="s">
        <v>463</v>
      </c>
      <c r="F157" s="48" t="s">
        <v>44</v>
      </c>
      <c r="G157" s="48" t="s">
        <v>30</v>
      </c>
      <c r="H157" s="48" t="s">
        <v>115</v>
      </c>
      <c r="I157" s="15" t="s">
        <v>171</v>
      </c>
      <c r="J157" s="29">
        <v>45442</v>
      </c>
      <c r="K157" s="29">
        <v>47633</v>
      </c>
      <c r="L157" s="13">
        <f ca="1">DATEDIF(J157, TODAY(), "m")</f>
        <v>22</v>
      </c>
      <c r="M157" s="29"/>
      <c r="N157" s="48"/>
      <c r="Q157" s="12">
        <v>104</v>
      </c>
      <c r="V157" s="16" t="s">
        <v>338</v>
      </c>
    </row>
    <row r="158" spans="1:22" ht="15.75" customHeight="1" x14ac:dyDescent="0.25">
      <c r="A158" s="15" t="s">
        <v>464</v>
      </c>
      <c r="B158" s="15"/>
      <c r="C158" s="16"/>
      <c r="D158" s="47" t="s">
        <v>459</v>
      </c>
      <c r="E158" s="48" t="s">
        <v>465</v>
      </c>
      <c r="F158" s="48" t="s">
        <v>44</v>
      </c>
      <c r="G158" s="48" t="s">
        <v>30</v>
      </c>
      <c r="H158" s="48" t="s">
        <v>115</v>
      </c>
      <c r="I158" s="15" t="s">
        <v>171</v>
      </c>
      <c r="J158" s="29">
        <v>45442</v>
      </c>
      <c r="K158" s="29">
        <v>47633</v>
      </c>
      <c r="L158" s="13">
        <f ca="1">DATEDIF(J158, TODAY(), "m")</f>
        <v>22</v>
      </c>
      <c r="M158" s="29"/>
      <c r="N158" s="48"/>
      <c r="O158" s="15"/>
      <c r="P158" s="15" t="s">
        <v>466</v>
      </c>
      <c r="Q158" s="12">
        <v>104</v>
      </c>
      <c r="R158" s="15"/>
      <c r="S158" s="15"/>
      <c r="T158" s="15"/>
      <c r="U158" s="15"/>
      <c r="V158" s="16" t="s">
        <v>338</v>
      </c>
    </row>
    <row r="159" spans="1:22" ht="15.75" customHeight="1" x14ac:dyDescent="0.25">
      <c r="A159" s="21" t="s">
        <v>467</v>
      </c>
      <c r="C159" s="22" t="s">
        <v>81</v>
      </c>
      <c r="D159" s="45" t="s">
        <v>459</v>
      </c>
      <c r="E159" s="7" t="s">
        <v>468</v>
      </c>
      <c r="F159" s="7" t="s">
        <v>44</v>
      </c>
      <c r="G159" s="7" t="s">
        <v>30</v>
      </c>
      <c r="H159" s="7" t="s">
        <v>31</v>
      </c>
      <c r="I159" s="24" t="s">
        <v>171</v>
      </c>
      <c r="J159" s="25">
        <v>45442</v>
      </c>
      <c r="K159" s="25">
        <v>47633</v>
      </c>
      <c r="L159" s="13">
        <f ca="1">DATEDIF(J159, TODAY(), "m")</f>
        <v>22</v>
      </c>
      <c r="M159" s="25"/>
      <c r="N159" s="7"/>
      <c r="Q159" s="12">
        <v>104</v>
      </c>
    </row>
    <row r="160" spans="1:22" ht="15.75" customHeight="1" x14ac:dyDescent="0.25">
      <c r="A160" s="20" t="s">
        <v>469</v>
      </c>
      <c r="C160" s="22" t="s">
        <v>81</v>
      </c>
      <c r="D160" s="45" t="s">
        <v>470</v>
      </c>
      <c r="E160" s="36" t="s">
        <v>471</v>
      </c>
      <c r="F160" s="20">
        <v>2026</v>
      </c>
      <c r="G160" s="20"/>
      <c r="H160" s="7" t="s">
        <v>31</v>
      </c>
      <c r="I160" s="24" t="s">
        <v>472</v>
      </c>
      <c r="J160" s="25">
        <v>45898</v>
      </c>
      <c r="K160" s="25">
        <v>47724</v>
      </c>
      <c r="L160" s="13">
        <f ca="1">DATEDIF(J160, TODAY(), "m")</f>
        <v>7</v>
      </c>
      <c r="M160" s="25"/>
      <c r="N160" s="20"/>
      <c r="Q160" s="12">
        <v>104</v>
      </c>
    </row>
    <row r="161" spans="1:22" ht="15.75" customHeight="1" x14ac:dyDescent="0.25">
      <c r="A161" s="20" t="s">
        <v>473</v>
      </c>
      <c r="C161" s="22" t="s">
        <v>81</v>
      </c>
      <c r="D161" s="45" t="s">
        <v>470</v>
      </c>
      <c r="E161" s="36" t="s">
        <v>474</v>
      </c>
      <c r="F161" s="20">
        <v>2026</v>
      </c>
      <c r="G161" s="20"/>
      <c r="H161" s="7" t="s">
        <v>31</v>
      </c>
      <c r="I161" s="24" t="s">
        <v>472</v>
      </c>
      <c r="J161" s="25">
        <v>45898</v>
      </c>
      <c r="K161" s="25">
        <v>47724</v>
      </c>
      <c r="L161" s="13">
        <f ca="1">DATEDIF(J161, TODAY(), "m")</f>
        <v>7</v>
      </c>
      <c r="M161" s="25"/>
      <c r="N161" s="20"/>
      <c r="Q161" s="12">
        <v>104</v>
      </c>
    </row>
    <row r="162" spans="1:22" ht="15.75" customHeight="1" x14ac:dyDescent="0.25">
      <c r="A162" s="20" t="s">
        <v>475</v>
      </c>
      <c r="C162" s="22" t="s">
        <v>81</v>
      </c>
      <c r="D162" s="45" t="s">
        <v>470</v>
      </c>
      <c r="E162" s="36" t="s">
        <v>476</v>
      </c>
      <c r="F162" s="20">
        <v>2026</v>
      </c>
      <c r="G162" s="20"/>
      <c r="H162" s="7" t="s">
        <v>31</v>
      </c>
      <c r="I162" s="24" t="s">
        <v>472</v>
      </c>
      <c r="J162" s="25">
        <v>45898</v>
      </c>
      <c r="K162" s="25">
        <v>47724</v>
      </c>
      <c r="L162" s="13">
        <f ca="1">DATEDIF(J162, TODAY(), "m")</f>
        <v>7</v>
      </c>
      <c r="M162" s="25"/>
      <c r="N162" s="20"/>
      <c r="Q162" s="12">
        <v>104</v>
      </c>
      <c r="V162" s="22" t="s">
        <v>477</v>
      </c>
    </row>
    <row r="163" spans="1:22" ht="15.75" customHeight="1" x14ac:dyDescent="0.25">
      <c r="A163" s="20" t="s">
        <v>478</v>
      </c>
      <c r="C163" s="22" t="s">
        <v>81</v>
      </c>
      <c r="D163" s="45" t="s">
        <v>470</v>
      </c>
      <c r="E163" s="36" t="s">
        <v>479</v>
      </c>
      <c r="F163" s="20">
        <v>2026</v>
      </c>
      <c r="G163" s="20"/>
      <c r="H163" s="7" t="s">
        <v>31</v>
      </c>
      <c r="I163" s="24" t="s">
        <v>472</v>
      </c>
      <c r="J163" s="25">
        <v>45898</v>
      </c>
      <c r="K163" s="25">
        <v>47724</v>
      </c>
      <c r="L163" s="13">
        <f ca="1">DATEDIF(J163, TODAY(), "m")</f>
        <v>7</v>
      </c>
      <c r="M163" s="25"/>
      <c r="N163" s="20"/>
      <c r="Q163" s="12">
        <v>104</v>
      </c>
      <c r="V163" s="22" t="s">
        <v>477</v>
      </c>
    </row>
    <row r="164" spans="1:22" ht="15.75" customHeight="1" x14ac:dyDescent="0.25">
      <c r="A164" s="20" t="s">
        <v>480</v>
      </c>
      <c r="C164" s="22" t="s">
        <v>81</v>
      </c>
      <c r="D164" s="45" t="s">
        <v>470</v>
      </c>
      <c r="E164" s="36" t="s">
        <v>481</v>
      </c>
      <c r="F164" s="20">
        <v>2026</v>
      </c>
      <c r="G164" s="20"/>
      <c r="H164" s="7" t="s">
        <v>31</v>
      </c>
      <c r="I164" s="24" t="s">
        <v>472</v>
      </c>
      <c r="J164" s="25">
        <v>45898</v>
      </c>
      <c r="K164" s="25">
        <v>47724</v>
      </c>
      <c r="L164" s="13">
        <f ca="1">DATEDIF(J164, TODAY(), "m")</f>
        <v>7</v>
      </c>
      <c r="M164" s="25"/>
      <c r="N164" s="20"/>
      <c r="Q164" s="12">
        <v>104</v>
      </c>
      <c r="V164" s="22" t="s">
        <v>477</v>
      </c>
    </row>
    <row r="165" spans="1:22" ht="15.75" customHeight="1" x14ac:dyDescent="0.25">
      <c r="A165" s="21" t="s">
        <v>482</v>
      </c>
      <c r="C165" s="22" t="s">
        <v>81</v>
      </c>
      <c r="D165" s="45" t="s">
        <v>470</v>
      </c>
      <c r="E165" s="36" t="s">
        <v>483</v>
      </c>
      <c r="F165" s="7">
        <v>2026</v>
      </c>
      <c r="G165" s="7"/>
      <c r="H165" s="7">
        <v>567</v>
      </c>
      <c r="I165" s="24" t="s">
        <v>472</v>
      </c>
      <c r="J165" s="25">
        <v>45898</v>
      </c>
      <c r="K165" s="25">
        <v>47724</v>
      </c>
      <c r="L165" s="13">
        <f ca="1">DATEDIF(J165, TODAY(), "m")</f>
        <v>7</v>
      </c>
      <c r="M165" s="25"/>
      <c r="N165" s="7"/>
      <c r="Q165" s="12">
        <v>104</v>
      </c>
      <c r="V165" s="22" t="s">
        <v>477</v>
      </c>
    </row>
    <row r="166" spans="1:22" ht="15.75" customHeight="1" x14ac:dyDescent="0.25">
      <c r="A166" s="21" t="s">
        <v>484</v>
      </c>
      <c r="B166" s="21">
        <v>34</v>
      </c>
      <c r="C166" s="22" t="s">
        <v>283</v>
      </c>
      <c r="D166" s="23" t="s">
        <v>485</v>
      </c>
      <c r="E166" s="21" t="s">
        <v>486</v>
      </c>
      <c r="F166" s="21" t="s">
        <v>487</v>
      </c>
      <c r="G166" s="21" t="s">
        <v>30</v>
      </c>
      <c r="H166" s="21" t="s">
        <v>115</v>
      </c>
      <c r="I166" s="24" t="s">
        <v>101</v>
      </c>
      <c r="J166" s="21" t="s">
        <v>488</v>
      </c>
      <c r="K166" s="21" t="s">
        <v>488</v>
      </c>
      <c r="L166" s="13" t="e">
        <f ca="1">DATEDIF(J166, TODAY(), "m")</f>
        <v>#VALUE!</v>
      </c>
      <c r="Q166" s="12">
        <v>104</v>
      </c>
      <c r="R166" s="21" t="s">
        <v>88</v>
      </c>
      <c r="V166" s="22" t="s">
        <v>489</v>
      </c>
    </row>
    <row r="167" spans="1:22" s="15" customFormat="1" ht="15.75" customHeight="1" x14ac:dyDescent="0.25">
      <c r="A167" s="20" t="s">
        <v>490</v>
      </c>
      <c r="B167" s="21"/>
      <c r="C167" s="22" t="s">
        <v>283</v>
      </c>
      <c r="D167" s="26" t="s">
        <v>485</v>
      </c>
      <c r="E167" s="20" t="s">
        <v>491</v>
      </c>
      <c r="F167" s="20" t="s">
        <v>487</v>
      </c>
      <c r="G167" s="20" t="s">
        <v>30</v>
      </c>
      <c r="H167" s="20" t="s">
        <v>85</v>
      </c>
      <c r="I167" s="24" t="s">
        <v>101</v>
      </c>
      <c r="J167" s="21" t="s">
        <v>488</v>
      </c>
      <c r="K167" s="21" t="s">
        <v>488</v>
      </c>
      <c r="L167" s="13" t="e">
        <f ca="1">DATEDIF(J167, TODAY(), "m")</f>
        <v>#VALUE!</v>
      </c>
      <c r="M167" s="21"/>
      <c r="N167" s="20"/>
      <c r="O167" s="21"/>
      <c r="P167" s="21"/>
      <c r="Q167" s="12">
        <v>104</v>
      </c>
      <c r="R167" s="21" t="s">
        <v>88</v>
      </c>
      <c r="S167" s="21"/>
      <c r="T167" s="21"/>
      <c r="U167" s="21"/>
      <c r="V167" s="22" t="s">
        <v>489</v>
      </c>
    </row>
    <row r="168" spans="1:22" ht="15.75" customHeight="1" x14ac:dyDescent="0.25">
      <c r="A168" s="21" t="s">
        <v>492</v>
      </c>
      <c r="B168" s="21">
        <v>39</v>
      </c>
      <c r="C168" s="22" t="s">
        <v>283</v>
      </c>
      <c r="D168" s="23" t="s">
        <v>485</v>
      </c>
      <c r="E168" s="21" t="s">
        <v>493</v>
      </c>
      <c r="F168" s="21" t="s">
        <v>494</v>
      </c>
      <c r="G168" s="21" t="s">
        <v>30</v>
      </c>
      <c r="H168" s="20">
        <v>330</v>
      </c>
      <c r="I168" s="24" t="s">
        <v>101</v>
      </c>
      <c r="J168" s="21" t="s">
        <v>488</v>
      </c>
      <c r="K168" s="21" t="s">
        <v>488</v>
      </c>
      <c r="L168" s="13" t="e">
        <f ca="1">DATEDIF(J168, TODAY(), "m")</f>
        <v>#VALUE!</v>
      </c>
      <c r="Q168" s="12">
        <v>104</v>
      </c>
      <c r="R168" s="21" t="s">
        <v>88</v>
      </c>
      <c r="V168" s="22" t="s">
        <v>489</v>
      </c>
    </row>
    <row r="169" spans="1:22" ht="15.75" customHeight="1" x14ac:dyDescent="0.25">
      <c r="A169" s="20" t="s">
        <v>495</v>
      </c>
      <c r="B169" s="21">
        <v>99</v>
      </c>
      <c r="C169" s="22" t="s">
        <v>283</v>
      </c>
      <c r="D169" s="26" t="s">
        <v>496</v>
      </c>
      <c r="E169" s="20" t="s">
        <v>497</v>
      </c>
      <c r="F169" s="20" t="s">
        <v>84</v>
      </c>
      <c r="G169" s="20" t="s">
        <v>30</v>
      </c>
      <c r="H169" s="20" t="s">
        <v>498</v>
      </c>
      <c r="I169" s="24" t="s">
        <v>499</v>
      </c>
      <c r="J169" s="25">
        <v>43448</v>
      </c>
      <c r="K169" s="25">
        <v>46005</v>
      </c>
      <c r="L169" s="13">
        <f ca="1">DATEDIF(J169, TODAY(), "m")</f>
        <v>87</v>
      </c>
      <c r="M169" s="25"/>
      <c r="N169" s="20"/>
      <c r="Q169" s="12">
        <v>104</v>
      </c>
    </row>
    <row r="170" spans="1:22" ht="15.75" customHeight="1" x14ac:dyDescent="0.25">
      <c r="A170" s="21" t="s">
        <v>500</v>
      </c>
      <c r="B170" s="21">
        <v>98</v>
      </c>
      <c r="C170" s="22" t="s">
        <v>283</v>
      </c>
      <c r="D170" s="26" t="s">
        <v>496</v>
      </c>
      <c r="E170" s="21" t="s">
        <v>501</v>
      </c>
      <c r="F170" s="21" t="s">
        <v>84</v>
      </c>
      <c r="G170" s="21" t="s">
        <v>30</v>
      </c>
      <c r="H170" s="21" t="s">
        <v>498</v>
      </c>
      <c r="I170" s="24" t="s">
        <v>502</v>
      </c>
      <c r="J170" s="25">
        <v>43448</v>
      </c>
      <c r="K170" s="25">
        <v>46005</v>
      </c>
      <c r="L170" s="13">
        <f ca="1">DATEDIF(J170, TODAY(), "m")</f>
        <v>87</v>
      </c>
      <c r="M170" s="25"/>
      <c r="Q170" s="12">
        <v>104</v>
      </c>
    </row>
    <row r="171" spans="1:22" ht="15.75" customHeight="1" x14ac:dyDescent="0.25">
      <c r="A171" s="20" t="s">
        <v>503</v>
      </c>
      <c r="B171" s="21">
        <v>96</v>
      </c>
      <c r="C171" s="22" t="s">
        <v>283</v>
      </c>
      <c r="D171" s="26" t="s">
        <v>496</v>
      </c>
      <c r="E171" s="20" t="s">
        <v>504</v>
      </c>
      <c r="F171" s="20" t="s">
        <v>84</v>
      </c>
      <c r="G171" s="20" t="s">
        <v>30</v>
      </c>
      <c r="H171" s="20" t="s">
        <v>498</v>
      </c>
      <c r="I171" s="24" t="s">
        <v>505</v>
      </c>
      <c r="J171" s="25">
        <v>43448</v>
      </c>
      <c r="K171" s="25">
        <v>46005</v>
      </c>
      <c r="L171" s="13">
        <f ca="1">DATEDIF(J171, TODAY(), "m")</f>
        <v>87</v>
      </c>
      <c r="M171" s="25"/>
      <c r="N171" s="20"/>
      <c r="Q171" s="12">
        <v>104</v>
      </c>
    </row>
    <row r="172" spans="1:22" ht="15.75" customHeight="1" x14ac:dyDescent="0.25">
      <c r="A172" s="20" t="s">
        <v>506</v>
      </c>
      <c r="C172" s="22" t="s">
        <v>283</v>
      </c>
      <c r="D172" s="26" t="s">
        <v>485</v>
      </c>
      <c r="E172" s="20" t="s">
        <v>507</v>
      </c>
      <c r="F172" s="20" t="s">
        <v>494</v>
      </c>
      <c r="G172" s="20" t="s">
        <v>30</v>
      </c>
      <c r="H172" s="20" t="s">
        <v>30</v>
      </c>
      <c r="I172" s="24" t="s">
        <v>101</v>
      </c>
      <c r="J172" s="21" t="s">
        <v>488</v>
      </c>
      <c r="K172" s="21" t="s">
        <v>488</v>
      </c>
      <c r="L172" s="13" t="e">
        <f ca="1">DATEDIF(J172, TODAY(), "m")</f>
        <v>#VALUE!</v>
      </c>
      <c r="N172" s="20"/>
      <c r="Q172" s="12">
        <v>104</v>
      </c>
      <c r="R172" s="21" t="s">
        <v>88</v>
      </c>
      <c r="V172" s="22" t="s">
        <v>489</v>
      </c>
    </row>
    <row r="173" spans="1:22" ht="15.75" customHeight="1" x14ac:dyDescent="0.25">
      <c r="A173" s="15" t="s">
        <v>508</v>
      </c>
      <c r="B173" s="15" t="s">
        <v>509</v>
      </c>
      <c r="C173" s="16"/>
      <c r="D173" s="17" t="s">
        <v>510</v>
      </c>
      <c r="E173" s="15" t="s">
        <v>511</v>
      </c>
      <c r="F173" s="15" t="s">
        <v>84</v>
      </c>
      <c r="G173" s="15" t="s">
        <v>512</v>
      </c>
      <c r="H173" s="15" t="s">
        <v>512</v>
      </c>
      <c r="I173" s="15" t="s">
        <v>502</v>
      </c>
      <c r="J173" s="15" t="s">
        <v>488</v>
      </c>
      <c r="K173" s="15" t="s">
        <v>488</v>
      </c>
      <c r="L173" s="13" t="e">
        <f ca="1">DATEDIF(J173, TODAY(), "m")</f>
        <v>#VALUE!</v>
      </c>
      <c r="M173" s="15"/>
      <c r="N173" s="15"/>
      <c r="O173" s="15"/>
      <c r="P173" s="15"/>
      <c r="Q173" s="12">
        <v>104</v>
      </c>
      <c r="R173" s="15" t="s">
        <v>89</v>
      </c>
      <c r="S173" s="15"/>
      <c r="T173" s="15"/>
      <c r="U173" s="15"/>
    </row>
    <row r="174" spans="1:22" ht="15.75" customHeight="1" x14ac:dyDescent="0.25">
      <c r="A174" s="15" t="s">
        <v>513</v>
      </c>
      <c r="B174" s="15"/>
      <c r="C174" s="16"/>
      <c r="D174" s="17" t="s">
        <v>514</v>
      </c>
      <c r="E174" s="15" t="s">
        <v>515</v>
      </c>
      <c r="F174" s="15" t="s">
        <v>29</v>
      </c>
      <c r="G174" s="15" t="s">
        <v>30</v>
      </c>
      <c r="H174" s="15" t="s">
        <v>31</v>
      </c>
      <c r="I174" s="15" t="s">
        <v>109</v>
      </c>
      <c r="J174" s="49">
        <v>43525</v>
      </c>
      <c r="K174" s="49">
        <v>46082</v>
      </c>
      <c r="L174" s="13">
        <f ca="1">DATEDIF(J174, TODAY(), "m")</f>
        <v>85</v>
      </c>
      <c r="M174" s="49"/>
      <c r="N174" s="15" t="s">
        <v>516</v>
      </c>
      <c r="O174" s="15" t="s">
        <v>517</v>
      </c>
      <c r="P174" s="18" t="s">
        <v>518</v>
      </c>
      <c r="Q174" s="12">
        <v>104</v>
      </c>
      <c r="R174" s="15"/>
      <c r="S174" s="15"/>
      <c r="T174" s="15"/>
      <c r="U174" s="15"/>
      <c r="V174" s="16" t="s">
        <v>519</v>
      </c>
    </row>
    <row r="175" spans="1:22" ht="15.75" customHeight="1" x14ac:dyDescent="0.25">
      <c r="A175" s="15" t="s">
        <v>520</v>
      </c>
      <c r="B175" s="15"/>
      <c r="C175" s="16"/>
      <c r="D175" s="17" t="s">
        <v>514</v>
      </c>
      <c r="E175" s="15" t="s">
        <v>521</v>
      </c>
      <c r="F175" s="15" t="s">
        <v>29</v>
      </c>
      <c r="G175" s="15" t="s">
        <v>30</v>
      </c>
      <c r="H175" s="15" t="s">
        <v>31</v>
      </c>
      <c r="I175" s="15" t="s">
        <v>109</v>
      </c>
      <c r="J175" s="49">
        <v>43525</v>
      </c>
      <c r="K175" s="49">
        <v>46082</v>
      </c>
      <c r="L175" s="13">
        <f ca="1">DATEDIF(J175, TODAY(), "m")</f>
        <v>85</v>
      </c>
      <c r="M175" s="49"/>
      <c r="N175" s="15" t="s">
        <v>516</v>
      </c>
      <c r="O175" s="15" t="s">
        <v>517</v>
      </c>
      <c r="P175" s="18" t="s">
        <v>522</v>
      </c>
      <c r="Q175" s="12">
        <v>104</v>
      </c>
      <c r="R175" s="15"/>
      <c r="S175" s="15"/>
      <c r="T175" s="15"/>
      <c r="U175" s="15"/>
      <c r="V175" s="16" t="s">
        <v>519</v>
      </c>
    </row>
    <row r="176" spans="1:22" ht="15.75" customHeight="1" x14ac:dyDescent="0.25">
      <c r="A176" s="20" t="s">
        <v>523</v>
      </c>
      <c r="B176" s="21">
        <v>315</v>
      </c>
      <c r="C176" s="22" t="s">
        <v>283</v>
      </c>
      <c r="D176" s="26" t="s">
        <v>524</v>
      </c>
      <c r="E176" s="20" t="s">
        <v>525</v>
      </c>
      <c r="F176" s="20" t="s">
        <v>29</v>
      </c>
      <c r="G176" s="20" t="s">
        <v>30</v>
      </c>
      <c r="H176" s="20" t="s">
        <v>31</v>
      </c>
      <c r="I176" s="24" t="s">
        <v>109</v>
      </c>
      <c r="J176" s="25">
        <v>43524</v>
      </c>
      <c r="K176" s="25">
        <v>46081</v>
      </c>
      <c r="L176" s="13">
        <f ca="1">DATEDIF(J176, TODAY(), "m")</f>
        <v>85</v>
      </c>
      <c r="M176" s="25"/>
      <c r="N176" s="20"/>
      <c r="Q176" s="12">
        <v>104</v>
      </c>
    </row>
    <row r="177" spans="1:22" ht="15.75" customHeight="1" x14ac:dyDescent="0.25">
      <c r="A177" s="21" t="s">
        <v>526</v>
      </c>
      <c r="B177" s="21">
        <v>316</v>
      </c>
      <c r="C177" s="22" t="s">
        <v>283</v>
      </c>
      <c r="D177" s="23" t="s">
        <v>524</v>
      </c>
      <c r="E177" s="21" t="s">
        <v>527</v>
      </c>
      <c r="F177" s="21" t="s">
        <v>29</v>
      </c>
      <c r="G177" s="21" t="s">
        <v>30</v>
      </c>
      <c r="H177" s="21" t="s">
        <v>31</v>
      </c>
      <c r="I177" s="24" t="s">
        <v>109</v>
      </c>
      <c r="J177" s="25">
        <v>43524</v>
      </c>
      <c r="K177" s="25">
        <v>46081</v>
      </c>
      <c r="L177" s="13">
        <f ca="1">DATEDIF(J177, TODAY(), "m")</f>
        <v>85</v>
      </c>
      <c r="M177" s="25"/>
      <c r="P177" s="27" t="s">
        <v>528</v>
      </c>
      <c r="Q177" s="12">
        <v>104</v>
      </c>
      <c r="V177" s="22" t="s">
        <v>529</v>
      </c>
    </row>
    <row r="178" spans="1:22" ht="15.75" customHeight="1" x14ac:dyDescent="0.25">
      <c r="A178" s="15" t="s">
        <v>530</v>
      </c>
      <c r="B178" s="15" t="s">
        <v>531</v>
      </c>
      <c r="C178" s="16"/>
      <c r="D178" s="17" t="s">
        <v>510</v>
      </c>
      <c r="E178" s="15" t="s">
        <v>532</v>
      </c>
      <c r="F178" s="15" t="s">
        <v>84</v>
      </c>
      <c r="G178" s="15" t="s">
        <v>512</v>
      </c>
      <c r="H178" s="15" t="s">
        <v>533</v>
      </c>
      <c r="I178" s="15" t="s">
        <v>171</v>
      </c>
      <c r="J178" s="15" t="s">
        <v>488</v>
      </c>
      <c r="K178" s="15" t="s">
        <v>488</v>
      </c>
      <c r="L178" s="13" t="e">
        <f ca="1">DATEDIF(J178, TODAY(), "m")</f>
        <v>#VALUE!</v>
      </c>
      <c r="M178" s="15"/>
      <c r="N178" s="15"/>
      <c r="O178" s="15"/>
      <c r="P178" s="15"/>
      <c r="Q178" s="12">
        <v>104</v>
      </c>
      <c r="R178" s="15" t="s">
        <v>89</v>
      </c>
      <c r="S178" s="15"/>
      <c r="T178" s="15"/>
      <c r="U178" s="15"/>
    </row>
    <row r="179" spans="1:22" ht="15.75" customHeight="1" x14ac:dyDescent="0.25">
      <c r="A179" s="21" t="s">
        <v>534</v>
      </c>
      <c r="C179" s="9" t="s">
        <v>23</v>
      </c>
      <c r="D179" s="23" t="s">
        <v>24</v>
      </c>
      <c r="E179" s="21" t="s">
        <v>535</v>
      </c>
      <c r="F179" s="21" t="s">
        <v>84</v>
      </c>
      <c r="G179" s="21" t="s">
        <v>512</v>
      </c>
      <c r="H179" s="21" t="s">
        <v>512</v>
      </c>
      <c r="I179" s="24" t="s">
        <v>536</v>
      </c>
      <c r="J179" s="25"/>
      <c r="K179" s="25"/>
      <c r="L179" s="13">
        <f ca="1">DATEDIF(J179, TODAY(), "m")</f>
        <v>1515</v>
      </c>
      <c r="M179" s="25"/>
      <c r="Q179" s="12">
        <v>104</v>
      </c>
    </row>
    <row r="180" spans="1:22" ht="15.75" customHeight="1" x14ac:dyDescent="0.25">
      <c r="A180" s="21" t="s">
        <v>537</v>
      </c>
      <c r="B180" s="21">
        <v>41</v>
      </c>
      <c r="C180" s="22" t="s">
        <v>283</v>
      </c>
      <c r="D180" s="23" t="s">
        <v>485</v>
      </c>
      <c r="E180" s="21" t="s">
        <v>538</v>
      </c>
      <c r="F180" s="21" t="s">
        <v>29</v>
      </c>
      <c r="G180" s="21" t="s">
        <v>30</v>
      </c>
      <c r="H180" s="21" t="s">
        <v>115</v>
      </c>
      <c r="I180" s="24" t="s">
        <v>101</v>
      </c>
      <c r="J180" s="21" t="s">
        <v>488</v>
      </c>
      <c r="K180" s="21" t="s">
        <v>488</v>
      </c>
      <c r="L180" s="13" t="e">
        <f ca="1">DATEDIF(J180, TODAY(), "m")</f>
        <v>#VALUE!</v>
      </c>
      <c r="Q180" s="12">
        <v>104</v>
      </c>
      <c r="R180" s="21" t="s">
        <v>88</v>
      </c>
      <c r="V180" s="22" t="s">
        <v>489</v>
      </c>
    </row>
    <row r="181" spans="1:22" ht="15.75" customHeight="1" x14ac:dyDescent="0.25">
      <c r="A181" s="20" t="s">
        <v>539</v>
      </c>
      <c r="C181" s="22" t="s">
        <v>283</v>
      </c>
      <c r="D181" s="26" t="s">
        <v>540</v>
      </c>
      <c r="E181" s="20" t="s">
        <v>541</v>
      </c>
      <c r="F181" s="20" t="s">
        <v>29</v>
      </c>
      <c r="G181" s="20" t="s">
        <v>30</v>
      </c>
      <c r="H181" s="20" t="s">
        <v>30</v>
      </c>
      <c r="I181" s="24" t="s">
        <v>542</v>
      </c>
      <c r="L181" s="13">
        <f ca="1">DATEDIF(J181, TODAY(), "m")</f>
        <v>1515</v>
      </c>
      <c r="N181" s="20" t="s">
        <v>543</v>
      </c>
      <c r="P181" s="27"/>
      <c r="Q181" s="12">
        <v>104</v>
      </c>
    </row>
    <row r="182" spans="1:22" ht="15.75" customHeight="1" x14ac:dyDescent="0.25">
      <c r="A182" s="21" t="s">
        <v>544</v>
      </c>
      <c r="C182" s="22" t="s">
        <v>283</v>
      </c>
      <c r="D182" s="23" t="s">
        <v>545</v>
      </c>
      <c r="E182" s="21" t="s">
        <v>546</v>
      </c>
      <c r="F182" s="21" t="s">
        <v>29</v>
      </c>
      <c r="G182" s="21" t="s">
        <v>30</v>
      </c>
      <c r="H182" s="21" t="s">
        <v>30</v>
      </c>
      <c r="I182" s="24" t="s">
        <v>109</v>
      </c>
      <c r="J182" s="25">
        <v>43830</v>
      </c>
      <c r="K182" s="25">
        <v>46387</v>
      </c>
      <c r="L182" s="13">
        <f ca="1">DATEDIF(J182, TODAY(), "m")</f>
        <v>75</v>
      </c>
      <c r="M182" s="25"/>
      <c r="P182" s="27"/>
      <c r="Q182" s="12">
        <v>104</v>
      </c>
      <c r="R182" s="21" t="s">
        <v>547</v>
      </c>
    </row>
    <row r="183" spans="1:22" ht="15.75" customHeight="1" x14ac:dyDescent="0.25">
      <c r="A183" s="20" t="s">
        <v>548</v>
      </c>
      <c r="C183" s="22" t="s">
        <v>283</v>
      </c>
      <c r="D183" s="26" t="s">
        <v>549</v>
      </c>
      <c r="E183" s="46" t="s">
        <v>550</v>
      </c>
      <c r="F183" s="20">
        <v>2020</v>
      </c>
      <c r="G183" s="20" t="s">
        <v>30</v>
      </c>
      <c r="H183" s="20">
        <v>579</v>
      </c>
      <c r="I183" s="24" t="s">
        <v>109</v>
      </c>
      <c r="J183" s="25">
        <v>43754</v>
      </c>
      <c r="K183" s="25">
        <v>46311</v>
      </c>
      <c r="L183" s="13">
        <f ca="1">DATEDIF(J183, TODAY(), "m")</f>
        <v>77</v>
      </c>
      <c r="M183" s="25"/>
      <c r="N183" s="20" t="s">
        <v>551</v>
      </c>
      <c r="Q183" s="12">
        <v>104</v>
      </c>
    </row>
    <row r="184" spans="1:22" ht="15.75" customHeight="1" x14ac:dyDescent="0.25">
      <c r="A184" s="21" t="s">
        <v>552</v>
      </c>
      <c r="C184" s="22" t="s">
        <v>283</v>
      </c>
      <c r="D184" s="23" t="s">
        <v>553</v>
      </c>
      <c r="E184" s="21" t="s">
        <v>554</v>
      </c>
      <c r="F184" s="21" t="s">
        <v>29</v>
      </c>
      <c r="G184" s="21" t="s">
        <v>30</v>
      </c>
      <c r="H184" s="21" t="s">
        <v>31</v>
      </c>
      <c r="I184" s="24" t="s">
        <v>109</v>
      </c>
      <c r="J184" s="25">
        <v>43784</v>
      </c>
      <c r="K184" s="25">
        <v>46341</v>
      </c>
      <c r="L184" s="13">
        <f ca="1">DATEDIF(J184, TODAY(), "m")</f>
        <v>76</v>
      </c>
      <c r="M184" s="25"/>
      <c r="P184" s="27"/>
      <c r="Q184" s="12">
        <v>104</v>
      </c>
    </row>
    <row r="185" spans="1:22" ht="15.75" customHeight="1" x14ac:dyDescent="0.25">
      <c r="A185" s="20" t="s">
        <v>555</v>
      </c>
      <c r="C185" s="22" t="s">
        <v>283</v>
      </c>
      <c r="D185" s="26" t="s">
        <v>553</v>
      </c>
      <c r="E185" s="20" t="s">
        <v>556</v>
      </c>
      <c r="F185" s="20" t="s">
        <v>29</v>
      </c>
      <c r="G185" s="20" t="s">
        <v>30</v>
      </c>
      <c r="H185" s="20" t="s">
        <v>31</v>
      </c>
      <c r="I185" s="24" t="s">
        <v>109</v>
      </c>
      <c r="J185" s="25">
        <v>43784</v>
      </c>
      <c r="K185" s="25">
        <v>46341</v>
      </c>
      <c r="L185" s="13">
        <f ca="1">DATEDIF(J185, TODAY(), "m")</f>
        <v>76</v>
      </c>
      <c r="M185" s="25"/>
      <c r="N185" s="20"/>
      <c r="P185" s="27"/>
      <c r="Q185" s="12">
        <v>104</v>
      </c>
    </row>
    <row r="186" spans="1:22" ht="15.75" customHeight="1" x14ac:dyDescent="0.25">
      <c r="A186" s="20" t="s">
        <v>557</v>
      </c>
      <c r="B186" s="21">
        <v>1008</v>
      </c>
      <c r="C186" s="22" t="s">
        <v>81</v>
      </c>
      <c r="D186" s="26" t="s">
        <v>558</v>
      </c>
      <c r="E186" s="20" t="s">
        <v>559</v>
      </c>
      <c r="F186" s="20" t="s">
        <v>29</v>
      </c>
      <c r="G186" s="20" t="s">
        <v>30</v>
      </c>
      <c r="H186" s="20" t="s">
        <v>115</v>
      </c>
      <c r="I186" s="24" t="s">
        <v>171</v>
      </c>
      <c r="J186" s="25">
        <v>43819</v>
      </c>
      <c r="K186" s="25">
        <v>46162</v>
      </c>
      <c r="L186" s="13">
        <f ca="1">DATEDIF(J186, TODAY(), "m")</f>
        <v>75</v>
      </c>
      <c r="M186" s="25"/>
      <c r="N186" s="20"/>
      <c r="P186" s="27"/>
      <c r="Q186" s="12">
        <v>104</v>
      </c>
      <c r="R186" s="21" t="s">
        <v>89</v>
      </c>
      <c r="S186" s="21" t="s">
        <v>88</v>
      </c>
    </row>
    <row r="187" spans="1:22" ht="15.75" customHeight="1" x14ac:dyDescent="0.25">
      <c r="A187" s="15" t="s">
        <v>560</v>
      </c>
      <c r="B187" s="15"/>
      <c r="C187" s="22" t="s">
        <v>283</v>
      </c>
      <c r="D187" s="17" t="s">
        <v>561</v>
      </c>
      <c r="E187" s="15" t="s">
        <v>562</v>
      </c>
      <c r="F187" s="15" t="s">
        <v>29</v>
      </c>
      <c r="G187" s="15" t="s">
        <v>30</v>
      </c>
      <c r="H187" s="15" t="s">
        <v>31</v>
      </c>
      <c r="I187" s="15" t="s">
        <v>109</v>
      </c>
      <c r="J187" s="29">
        <v>44073</v>
      </c>
      <c r="K187" s="29">
        <v>45899</v>
      </c>
      <c r="L187" s="13">
        <f ca="1">DATEDIF(J187, TODAY(), "m")</f>
        <v>67</v>
      </c>
      <c r="M187" s="29"/>
      <c r="N187" s="15"/>
      <c r="O187" s="15"/>
      <c r="P187" s="18"/>
      <c r="Q187" s="12">
        <v>104</v>
      </c>
      <c r="R187" s="15"/>
      <c r="S187" s="15"/>
      <c r="T187" s="15"/>
      <c r="U187" s="15"/>
    </row>
    <row r="188" spans="1:22" ht="15.75" customHeight="1" x14ac:dyDescent="0.25">
      <c r="A188" s="21" t="s">
        <v>563</v>
      </c>
      <c r="C188" s="22" t="s">
        <v>283</v>
      </c>
      <c r="D188" s="23" t="s">
        <v>564</v>
      </c>
      <c r="E188" s="21" t="s">
        <v>565</v>
      </c>
      <c r="F188" s="21" t="s">
        <v>39</v>
      </c>
      <c r="G188" s="21" t="s">
        <v>30</v>
      </c>
      <c r="H188" s="21">
        <v>330</v>
      </c>
      <c r="I188" s="24" t="s">
        <v>109</v>
      </c>
      <c r="J188" s="25">
        <v>44202</v>
      </c>
      <c r="K188" s="25">
        <v>46393</v>
      </c>
      <c r="L188" s="13">
        <f ca="1">DATEDIF(J188, TODAY(), "m")</f>
        <v>62</v>
      </c>
      <c r="M188" s="25"/>
      <c r="N188" s="21" t="s">
        <v>543</v>
      </c>
      <c r="Q188" s="12">
        <v>104</v>
      </c>
      <c r="R188" s="21" t="s">
        <v>89</v>
      </c>
    </row>
    <row r="189" spans="1:22" ht="15.75" customHeight="1" x14ac:dyDescent="0.25">
      <c r="A189" s="20" t="s">
        <v>566</v>
      </c>
      <c r="B189" s="21">
        <v>42</v>
      </c>
      <c r="C189" s="22" t="s">
        <v>283</v>
      </c>
      <c r="D189" s="26" t="s">
        <v>485</v>
      </c>
      <c r="E189" s="20" t="s">
        <v>567</v>
      </c>
      <c r="F189" s="20" t="s">
        <v>39</v>
      </c>
      <c r="G189" s="20" t="s">
        <v>30</v>
      </c>
      <c r="H189" s="20" t="s">
        <v>30</v>
      </c>
      <c r="I189" s="24" t="s">
        <v>101</v>
      </c>
      <c r="J189" s="21" t="s">
        <v>488</v>
      </c>
      <c r="K189" s="21" t="s">
        <v>488</v>
      </c>
      <c r="L189" s="13" t="e">
        <f ca="1">DATEDIF(J189, TODAY(), "m")</f>
        <v>#VALUE!</v>
      </c>
      <c r="N189" s="20"/>
      <c r="Q189" s="12">
        <v>104</v>
      </c>
      <c r="R189" s="21" t="s">
        <v>88</v>
      </c>
      <c r="V189" s="22" t="s">
        <v>568</v>
      </c>
    </row>
    <row r="190" spans="1:22" ht="15.75" customHeight="1" x14ac:dyDescent="0.25">
      <c r="A190" s="21" t="s">
        <v>569</v>
      </c>
      <c r="C190" s="22" t="s">
        <v>283</v>
      </c>
      <c r="D190" s="23" t="s">
        <v>570</v>
      </c>
      <c r="E190" s="21" t="s">
        <v>571</v>
      </c>
      <c r="F190" s="21" t="s">
        <v>39</v>
      </c>
      <c r="G190" s="21" t="s">
        <v>30</v>
      </c>
      <c r="H190" s="21" t="s">
        <v>31</v>
      </c>
      <c r="I190" s="24" t="s">
        <v>502</v>
      </c>
      <c r="J190" s="25">
        <v>44202</v>
      </c>
      <c r="K190" s="25">
        <v>46393</v>
      </c>
      <c r="L190" s="13">
        <f ca="1">DATEDIF(J190, TODAY(), "m")</f>
        <v>62</v>
      </c>
      <c r="M190" s="21" t="s">
        <v>572</v>
      </c>
      <c r="Q190" s="12">
        <v>104</v>
      </c>
    </row>
    <row r="191" spans="1:22" ht="15.75" customHeight="1" x14ac:dyDescent="0.25">
      <c r="A191" s="20" t="s">
        <v>573</v>
      </c>
      <c r="C191" s="9" t="s">
        <v>23</v>
      </c>
      <c r="D191" s="26" t="s">
        <v>24</v>
      </c>
      <c r="E191" s="20" t="s">
        <v>574</v>
      </c>
      <c r="F191" s="20" t="s">
        <v>327</v>
      </c>
      <c r="G191" s="20" t="s">
        <v>30</v>
      </c>
      <c r="H191" s="20" t="s">
        <v>115</v>
      </c>
      <c r="I191" s="24" t="s">
        <v>171</v>
      </c>
      <c r="J191" s="25">
        <v>44331</v>
      </c>
      <c r="K191" s="25">
        <v>46157</v>
      </c>
      <c r="L191" s="13">
        <f ca="1">DATEDIF(J191, TODAY(), "m")</f>
        <v>58</v>
      </c>
      <c r="M191" s="25"/>
      <c r="N191" s="20"/>
      <c r="Q191" s="12">
        <v>104</v>
      </c>
    </row>
    <row r="192" spans="1:22" ht="15.75" customHeight="1" x14ac:dyDescent="0.25">
      <c r="A192" s="21" t="s">
        <v>575</v>
      </c>
      <c r="B192" s="21">
        <v>9</v>
      </c>
      <c r="C192" s="9" t="s">
        <v>23</v>
      </c>
      <c r="D192" s="23" t="s">
        <v>24</v>
      </c>
      <c r="E192" s="21" t="s">
        <v>576</v>
      </c>
      <c r="F192" s="21" t="s">
        <v>327</v>
      </c>
      <c r="G192" s="21" t="s">
        <v>30</v>
      </c>
      <c r="H192" s="21" t="s">
        <v>115</v>
      </c>
      <c r="I192" s="24" t="s">
        <v>171</v>
      </c>
      <c r="J192" s="25">
        <v>44331</v>
      </c>
      <c r="K192" s="25">
        <v>46157</v>
      </c>
      <c r="L192" s="13">
        <f ca="1">DATEDIF(J192, TODAY(), "m")</f>
        <v>58</v>
      </c>
      <c r="M192" s="25"/>
      <c r="Q192" s="12">
        <v>104</v>
      </c>
    </row>
    <row r="193" spans="1:22" ht="15.75" customHeight="1" x14ac:dyDescent="0.25">
      <c r="A193" s="20" t="s">
        <v>577</v>
      </c>
      <c r="C193" s="9" t="s">
        <v>23</v>
      </c>
      <c r="D193" s="26" t="s">
        <v>24</v>
      </c>
      <c r="E193" s="20" t="s">
        <v>578</v>
      </c>
      <c r="F193" s="20" t="s">
        <v>327</v>
      </c>
      <c r="G193" s="20" t="s">
        <v>30</v>
      </c>
      <c r="H193" s="20" t="s">
        <v>31</v>
      </c>
      <c r="I193" s="50" t="s">
        <v>171</v>
      </c>
      <c r="J193" s="25">
        <v>44331</v>
      </c>
      <c r="K193" s="25">
        <v>46157</v>
      </c>
      <c r="L193" s="13">
        <f ca="1">DATEDIF(J193, TODAY(), "m")</f>
        <v>58</v>
      </c>
      <c r="M193" s="25"/>
      <c r="N193" s="20"/>
      <c r="Q193" s="12">
        <v>104</v>
      </c>
      <c r="R193" s="27"/>
      <c r="S193" s="27"/>
      <c r="T193" s="27"/>
      <c r="U193" s="27"/>
    </row>
    <row r="194" spans="1:22" ht="15.75" customHeight="1" x14ac:dyDescent="0.25">
      <c r="A194" s="20" t="s">
        <v>579</v>
      </c>
      <c r="B194" s="21">
        <v>200</v>
      </c>
      <c r="C194" s="22" t="s">
        <v>283</v>
      </c>
      <c r="D194" s="26" t="s">
        <v>580</v>
      </c>
      <c r="E194" s="20" t="s">
        <v>581</v>
      </c>
      <c r="F194" s="20" t="s">
        <v>327</v>
      </c>
      <c r="G194" s="20" t="s">
        <v>30</v>
      </c>
      <c r="H194" s="20" t="s">
        <v>108</v>
      </c>
      <c r="I194" s="24" t="s">
        <v>171</v>
      </c>
      <c r="J194" s="25">
        <v>44622</v>
      </c>
      <c r="K194" s="25">
        <v>46814</v>
      </c>
      <c r="L194" s="13">
        <f ca="1">DATEDIF(J194, TODAY(), "m")</f>
        <v>49</v>
      </c>
      <c r="M194" s="25"/>
      <c r="N194" s="20"/>
      <c r="Q194" s="12">
        <v>104</v>
      </c>
    </row>
    <row r="195" spans="1:22" ht="15.75" customHeight="1" x14ac:dyDescent="0.25">
      <c r="A195" s="21" t="s">
        <v>582</v>
      </c>
      <c r="B195" s="21">
        <v>1013</v>
      </c>
      <c r="C195" s="22" t="s">
        <v>81</v>
      </c>
      <c r="D195" s="23" t="s">
        <v>558</v>
      </c>
      <c r="E195" s="21" t="s">
        <v>583</v>
      </c>
      <c r="F195" s="21" t="s">
        <v>327</v>
      </c>
      <c r="G195" s="21" t="s">
        <v>30</v>
      </c>
      <c r="H195" s="21" t="s">
        <v>115</v>
      </c>
      <c r="I195" s="24" t="s">
        <v>171</v>
      </c>
      <c r="J195" s="25">
        <v>44286</v>
      </c>
      <c r="K195" s="25">
        <v>46477</v>
      </c>
      <c r="L195" s="13">
        <f ca="1">DATEDIF(J195, TODAY(), "m")</f>
        <v>60</v>
      </c>
      <c r="M195" s="25"/>
      <c r="Q195" s="12">
        <v>104</v>
      </c>
      <c r="R195" s="21" t="s">
        <v>89</v>
      </c>
      <c r="S195" s="21" t="s">
        <v>88</v>
      </c>
    </row>
    <row r="196" spans="1:22" ht="15.75" customHeight="1" x14ac:dyDescent="0.25">
      <c r="A196" s="21" t="s">
        <v>584</v>
      </c>
      <c r="B196" s="21">
        <v>1014</v>
      </c>
      <c r="C196" s="22" t="s">
        <v>81</v>
      </c>
      <c r="D196" s="23" t="s">
        <v>558</v>
      </c>
      <c r="E196" s="21" t="s">
        <v>585</v>
      </c>
      <c r="F196" s="21" t="s">
        <v>327</v>
      </c>
      <c r="G196" s="21" t="s">
        <v>30</v>
      </c>
      <c r="H196" s="21" t="s">
        <v>115</v>
      </c>
      <c r="I196" s="24" t="s">
        <v>171</v>
      </c>
      <c r="J196" s="25">
        <v>44286</v>
      </c>
      <c r="K196" s="25">
        <v>46477</v>
      </c>
      <c r="L196" s="13">
        <f ca="1">DATEDIF(J196, TODAY(), "m")</f>
        <v>60</v>
      </c>
      <c r="M196" s="25"/>
      <c r="Q196" s="12">
        <v>104</v>
      </c>
      <c r="R196" s="21" t="s">
        <v>89</v>
      </c>
      <c r="S196" s="21" t="s">
        <v>88</v>
      </c>
    </row>
    <row r="197" spans="1:22" ht="15.75" customHeight="1" x14ac:dyDescent="0.25">
      <c r="A197" s="15" t="s">
        <v>586</v>
      </c>
      <c r="B197" s="15">
        <v>1010</v>
      </c>
      <c r="C197" s="22" t="s">
        <v>81</v>
      </c>
      <c r="D197" s="17" t="s">
        <v>558</v>
      </c>
      <c r="E197" s="15" t="s">
        <v>587</v>
      </c>
      <c r="F197" s="15" t="s">
        <v>327</v>
      </c>
      <c r="G197" s="15" t="s">
        <v>30</v>
      </c>
      <c r="H197" s="15" t="s">
        <v>115</v>
      </c>
      <c r="I197" s="15" t="s">
        <v>171</v>
      </c>
      <c r="J197" s="29">
        <v>44515</v>
      </c>
      <c r="K197" s="29">
        <v>46706</v>
      </c>
      <c r="L197" s="13">
        <f ca="1">DATEDIF(J197, TODAY(), "m")</f>
        <v>52</v>
      </c>
      <c r="M197" s="29"/>
      <c r="N197" s="15"/>
      <c r="O197" s="15"/>
      <c r="P197" s="15"/>
      <c r="Q197" s="12">
        <v>104</v>
      </c>
      <c r="R197" s="15" t="s">
        <v>89</v>
      </c>
      <c r="S197" s="15" t="s">
        <v>88</v>
      </c>
      <c r="T197" s="15"/>
      <c r="U197" s="15"/>
    </row>
    <row r="198" spans="1:22" ht="15.75" customHeight="1" x14ac:dyDescent="0.25">
      <c r="A198" s="21" t="s">
        <v>588</v>
      </c>
      <c r="B198" s="21">
        <v>2193</v>
      </c>
      <c r="C198" s="22" t="s">
        <v>81</v>
      </c>
      <c r="D198" s="23" t="s">
        <v>589</v>
      </c>
      <c r="E198" s="21" t="s">
        <v>590</v>
      </c>
      <c r="F198" s="21" t="s">
        <v>327</v>
      </c>
      <c r="G198" s="21" t="s">
        <v>30</v>
      </c>
      <c r="H198" s="21" t="s">
        <v>115</v>
      </c>
      <c r="I198" s="24" t="s">
        <v>109</v>
      </c>
      <c r="L198" s="13">
        <f ca="1">DATEDIF(J198, TODAY(), "m")</f>
        <v>1515</v>
      </c>
      <c r="P198" s="21" t="s">
        <v>591</v>
      </c>
      <c r="Q198" s="12">
        <v>104</v>
      </c>
    </row>
    <row r="199" spans="1:22" ht="15.75" customHeight="1" x14ac:dyDescent="0.25">
      <c r="A199" s="20" t="s">
        <v>592</v>
      </c>
      <c r="C199" s="22" t="s">
        <v>283</v>
      </c>
      <c r="D199" s="26" t="s">
        <v>593</v>
      </c>
      <c r="E199" s="20" t="s">
        <v>594</v>
      </c>
      <c r="F199" s="20" t="s">
        <v>327</v>
      </c>
      <c r="G199" s="20" t="s">
        <v>30</v>
      </c>
      <c r="H199" s="20" t="s">
        <v>115</v>
      </c>
      <c r="I199" s="24" t="s">
        <v>109</v>
      </c>
      <c r="J199" s="25">
        <v>44309</v>
      </c>
      <c r="K199" s="25">
        <v>46097</v>
      </c>
      <c r="L199" s="13">
        <f ca="1">DATEDIF(J199, TODAY(), "m")</f>
        <v>59</v>
      </c>
      <c r="M199" s="25"/>
      <c r="N199" s="20"/>
      <c r="Q199" s="12">
        <v>104</v>
      </c>
      <c r="R199" s="21" t="s">
        <v>595</v>
      </c>
      <c r="V199" s="22" t="s">
        <v>596</v>
      </c>
    </row>
    <row r="200" spans="1:22" ht="15.75" customHeight="1" x14ac:dyDescent="0.25">
      <c r="A200" s="21" t="s">
        <v>597</v>
      </c>
      <c r="C200" s="22" t="s">
        <v>81</v>
      </c>
      <c r="D200" s="23" t="s">
        <v>598</v>
      </c>
      <c r="E200" s="51" t="s">
        <v>599</v>
      </c>
      <c r="F200" s="21" t="s">
        <v>205</v>
      </c>
      <c r="G200" s="21" t="s">
        <v>30</v>
      </c>
      <c r="H200" s="21" t="s">
        <v>31</v>
      </c>
      <c r="I200" s="24" t="s">
        <v>171</v>
      </c>
      <c r="J200" s="25">
        <v>44680</v>
      </c>
      <c r="K200" s="25">
        <v>46872</v>
      </c>
      <c r="L200" s="13">
        <f ca="1">DATEDIF(J200, TODAY(), "m")</f>
        <v>47</v>
      </c>
      <c r="M200" s="25"/>
      <c r="Q200" s="12">
        <v>104</v>
      </c>
      <c r="R200" s="21" t="s">
        <v>89</v>
      </c>
    </row>
    <row r="201" spans="1:22" ht="15.75" customHeight="1" x14ac:dyDescent="0.25">
      <c r="A201" s="20" t="s">
        <v>600</v>
      </c>
      <c r="C201" s="22" t="s">
        <v>283</v>
      </c>
      <c r="D201" s="26" t="s">
        <v>570</v>
      </c>
      <c r="E201" s="20" t="s">
        <v>601</v>
      </c>
      <c r="F201" s="20" t="s">
        <v>327</v>
      </c>
      <c r="G201" s="20" t="s">
        <v>30</v>
      </c>
      <c r="H201" s="20">
        <v>330</v>
      </c>
      <c r="I201" s="24" t="s">
        <v>536</v>
      </c>
      <c r="J201" s="25">
        <v>44447</v>
      </c>
      <c r="K201" s="25">
        <v>46638</v>
      </c>
      <c r="L201" s="13">
        <f ca="1">DATEDIF(J201, TODAY(), "m")</f>
        <v>54</v>
      </c>
      <c r="M201" s="25"/>
      <c r="N201" s="20"/>
      <c r="Q201" s="12">
        <v>104</v>
      </c>
    </row>
    <row r="202" spans="1:22" ht="15.75" customHeight="1" x14ac:dyDescent="0.25">
      <c r="A202" s="21" t="s">
        <v>602</v>
      </c>
      <c r="C202" s="52" t="s">
        <v>23</v>
      </c>
      <c r="D202" s="23" t="s">
        <v>24</v>
      </c>
      <c r="E202" s="21" t="s">
        <v>603</v>
      </c>
      <c r="F202" s="21" t="s">
        <v>205</v>
      </c>
      <c r="G202" s="21" t="s">
        <v>30</v>
      </c>
      <c r="H202" s="21" t="s">
        <v>31</v>
      </c>
      <c r="I202" s="24" t="s">
        <v>109</v>
      </c>
      <c r="J202" s="25">
        <v>44927</v>
      </c>
      <c r="K202" s="25">
        <v>46753</v>
      </c>
      <c r="L202" s="13">
        <f ca="1">DATEDIF(J202, TODAY(), "m")</f>
        <v>39</v>
      </c>
      <c r="M202" s="25"/>
      <c r="Q202" s="12">
        <v>104</v>
      </c>
    </row>
    <row r="203" spans="1:22" ht="15.75" customHeight="1" x14ac:dyDescent="0.25">
      <c r="A203" s="20" t="s">
        <v>604</v>
      </c>
      <c r="C203" s="9" t="s">
        <v>23</v>
      </c>
      <c r="D203" s="26" t="s">
        <v>24</v>
      </c>
      <c r="E203" s="20" t="s">
        <v>605</v>
      </c>
      <c r="F203" s="20" t="s">
        <v>205</v>
      </c>
      <c r="G203" s="20" t="s">
        <v>30</v>
      </c>
      <c r="H203" s="20" t="s">
        <v>31</v>
      </c>
      <c r="I203" s="24" t="s">
        <v>109</v>
      </c>
      <c r="J203" s="25">
        <v>44927</v>
      </c>
      <c r="K203" s="25">
        <v>46753</v>
      </c>
      <c r="L203" s="13">
        <f ca="1">DATEDIF(J203, TODAY(), "m")</f>
        <v>39</v>
      </c>
      <c r="M203" s="25"/>
      <c r="N203" s="20"/>
      <c r="Q203" s="12">
        <v>104</v>
      </c>
    </row>
    <row r="204" spans="1:22" ht="15.75" customHeight="1" x14ac:dyDescent="0.25">
      <c r="A204" s="21" t="s">
        <v>606</v>
      </c>
      <c r="C204" s="9" t="s">
        <v>23</v>
      </c>
      <c r="D204" s="23" t="s">
        <v>24</v>
      </c>
      <c r="E204" s="21" t="s">
        <v>607</v>
      </c>
      <c r="F204" s="21" t="s">
        <v>205</v>
      </c>
      <c r="G204" s="21" t="s">
        <v>30</v>
      </c>
      <c r="H204" s="21" t="s">
        <v>31</v>
      </c>
      <c r="I204" s="24" t="s">
        <v>109</v>
      </c>
      <c r="J204" s="25">
        <v>44927</v>
      </c>
      <c r="K204" s="25">
        <v>46753</v>
      </c>
      <c r="L204" s="13">
        <f ca="1">DATEDIF(J204, TODAY(), "m")</f>
        <v>39</v>
      </c>
      <c r="M204" s="25"/>
      <c r="Q204" s="12">
        <v>104</v>
      </c>
    </row>
    <row r="205" spans="1:22" ht="15.75" customHeight="1" x14ac:dyDescent="0.25">
      <c r="A205" s="20" t="s">
        <v>608</v>
      </c>
      <c r="C205" s="9" t="s">
        <v>23</v>
      </c>
      <c r="D205" s="23" t="s">
        <v>24</v>
      </c>
      <c r="E205" s="20" t="s">
        <v>609</v>
      </c>
      <c r="F205" s="20" t="s">
        <v>205</v>
      </c>
      <c r="G205" s="20" t="s">
        <v>30</v>
      </c>
      <c r="H205" s="20" t="s">
        <v>31</v>
      </c>
      <c r="I205" s="24" t="s">
        <v>109</v>
      </c>
      <c r="J205" s="25">
        <v>44927</v>
      </c>
      <c r="K205" s="25">
        <v>46753</v>
      </c>
      <c r="L205" s="13">
        <f ca="1">DATEDIF(J205, TODAY(), "m")</f>
        <v>39</v>
      </c>
      <c r="M205" s="25"/>
      <c r="N205" s="20"/>
      <c r="Q205" s="12">
        <v>104</v>
      </c>
    </row>
    <row r="206" spans="1:22" ht="15.75" customHeight="1" x14ac:dyDescent="0.25">
      <c r="A206" s="21" t="s">
        <v>610</v>
      </c>
      <c r="C206" s="9" t="s">
        <v>23</v>
      </c>
      <c r="D206" s="23" t="s">
        <v>24</v>
      </c>
      <c r="E206" s="31" t="s">
        <v>611</v>
      </c>
      <c r="F206" s="21" t="s">
        <v>44</v>
      </c>
      <c r="G206" s="21" t="s">
        <v>30</v>
      </c>
      <c r="H206" s="21" t="s">
        <v>115</v>
      </c>
      <c r="I206" s="24" t="s">
        <v>109</v>
      </c>
      <c r="J206" s="25">
        <v>44974</v>
      </c>
      <c r="K206" s="25">
        <v>47166</v>
      </c>
      <c r="L206" s="13">
        <f ca="1">DATEDIF(J206, TODAY(), "m")</f>
        <v>37</v>
      </c>
      <c r="M206" s="25"/>
      <c r="Q206" s="12">
        <v>104</v>
      </c>
    </row>
    <row r="207" spans="1:22" ht="15.75" customHeight="1" x14ac:dyDescent="0.25">
      <c r="A207" s="20" t="s">
        <v>612</v>
      </c>
      <c r="C207" s="9" t="s">
        <v>23</v>
      </c>
      <c r="D207" s="23" t="s">
        <v>24</v>
      </c>
      <c r="E207" s="53" t="s">
        <v>613</v>
      </c>
      <c r="F207" s="20" t="s">
        <v>44</v>
      </c>
      <c r="G207" s="20" t="s">
        <v>30</v>
      </c>
      <c r="H207" s="20" t="s">
        <v>115</v>
      </c>
      <c r="I207" s="24" t="s">
        <v>109</v>
      </c>
      <c r="J207" s="25">
        <v>44974</v>
      </c>
      <c r="K207" s="25">
        <v>47166</v>
      </c>
      <c r="L207" s="13">
        <f ca="1">DATEDIF(J207, TODAY(), "m")</f>
        <v>37</v>
      </c>
      <c r="M207" s="25"/>
      <c r="N207" s="20"/>
      <c r="Q207" s="12">
        <v>104</v>
      </c>
    </row>
    <row r="208" spans="1:22" ht="15.75" customHeight="1" x14ac:dyDescent="0.25">
      <c r="A208" s="21" t="s">
        <v>614</v>
      </c>
      <c r="C208" s="9" t="s">
        <v>23</v>
      </c>
      <c r="D208" s="23" t="s">
        <v>24</v>
      </c>
      <c r="E208" s="31" t="s">
        <v>615</v>
      </c>
      <c r="F208" s="21" t="s">
        <v>205</v>
      </c>
      <c r="G208" s="21" t="s">
        <v>30</v>
      </c>
      <c r="H208" s="21" t="s">
        <v>115</v>
      </c>
      <c r="I208" s="54" t="s">
        <v>109</v>
      </c>
      <c r="J208" s="25">
        <v>44974</v>
      </c>
      <c r="K208" s="25">
        <v>47166</v>
      </c>
      <c r="L208" s="13">
        <f ca="1">DATEDIF(J208, TODAY(), "m")</f>
        <v>37</v>
      </c>
      <c r="M208" s="25"/>
      <c r="Q208" s="12">
        <v>104</v>
      </c>
    </row>
    <row r="209" spans="1:22" ht="15.75" customHeight="1" x14ac:dyDescent="0.25">
      <c r="A209" s="20" t="s">
        <v>616</v>
      </c>
      <c r="C209" s="22" t="s">
        <v>283</v>
      </c>
      <c r="D209" s="26" t="s">
        <v>549</v>
      </c>
      <c r="E209" s="53" t="s">
        <v>617</v>
      </c>
      <c r="F209" s="20" t="s">
        <v>205</v>
      </c>
      <c r="G209" s="20" t="s">
        <v>30</v>
      </c>
      <c r="H209" s="20" t="s">
        <v>31</v>
      </c>
      <c r="I209" s="54" t="s">
        <v>109</v>
      </c>
      <c r="J209" s="25">
        <v>44680</v>
      </c>
      <c r="K209" s="25">
        <v>47237</v>
      </c>
      <c r="L209" s="13">
        <f ca="1">DATEDIF(J209, TODAY(), "m")</f>
        <v>47</v>
      </c>
      <c r="M209" s="25"/>
      <c r="N209" s="20" t="s">
        <v>551</v>
      </c>
      <c r="Q209" s="12">
        <v>104</v>
      </c>
    </row>
    <row r="210" spans="1:22" ht="15.75" customHeight="1" x14ac:dyDescent="0.25">
      <c r="A210" s="21" t="s">
        <v>618</v>
      </c>
      <c r="C210" s="9" t="s">
        <v>23</v>
      </c>
      <c r="D210" s="23" t="s">
        <v>24</v>
      </c>
      <c r="E210" s="31" t="s">
        <v>619</v>
      </c>
      <c r="F210" s="21" t="s">
        <v>327</v>
      </c>
      <c r="G210" s="21" t="s">
        <v>30</v>
      </c>
      <c r="H210" s="21" t="s">
        <v>31</v>
      </c>
      <c r="I210" s="54" t="s">
        <v>171</v>
      </c>
      <c r="J210" s="25">
        <v>44680</v>
      </c>
      <c r="K210" s="25">
        <v>46506</v>
      </c>
      <c r="L210" s="13">
        <f ca="1">DATEDIF(J210, TODAY(), "m")</f>
        <v>47</v>
      </c>
      <c r="M210" s="25"/>
      <c r="Q210" s="12">
        <v>104</v>
      </c>
    </row>
    <row r="211" spans="1:22" ht="15.75" customHeight="1" x14ac:dyDescent="0.25">
      <c r="A211" s="20" t="s">
        <v>620</v>
      </c>
      <c r="B211" s="21">
        <v>1016</v>
      </c>
      <c r="C211" s="22" t="s">
        <v>81</v>
      </c>
      <c r="D211" s="26" t="s">
        <v>558</v>
      </c>
      <c r="E211" s="55" t="s">
        <v>621</v>
      </c>
      <c r="F211" s="20" t="s">
        <v>327</v>
      </c>
      <c r="G211" s="20" t="s">
        <v>30</v>
      </c>
      <c r="H211" s="20" t="s">
        <v>115</v>
      </c>
      <c r="I211" s="54" t="s">
        <v>171</v>
      </c>
      <c r="J211" s="25">
        <v>44515</v>
      </c>
      <c r="K211" s="25">
        <v>46706</v>
      </c>
      <c r="L211" s="13">
        <f ca="1">DATEDIF(J211, TODAY(), "m")</f>
        <v>52</v>
      </c>
      <c r="M211" s="25"/>
      <c r="N211" s="20"/>
      <c r="Q211" s="12">
        <v>104</v>
      </c>
      <c r="R211" s="21" t="s">
        <v>89</v>
      </c>
      <c r="S211" s="21" t="s">
        <v>88</v>
      </c>
    </row>
    <row r="212" spans="1:22" ht="15.75" customHeight="1" x14ac:dyDescent="0.25">
      <c r="A212" s="21" t="s">
        <v>622</v>
      </c>
      <c r="C212" s="22" t="s">
        <v>283</v>
      </c>
      <c r="D212" s="23" t="s">
        <v>623</v>
      </c>
      <c r="E212" s="31" t="s">
        <v>624</v>
      </c>
      <c r="F212" s="21" t="s">
        <v>205</v>
      </c>
      <c r="G212" s="21" t="s">
        <v>30</v>
      </c>
      <c r="H212" s="21" t="s">
        <v>108</v>
      </c>
      <c r="I212" s="54" t="s">
        <v>625</v>
      </c>
      <c r="J212" s="25">
        <v>44927</v>
      </c>
      <c r="K212" s="25">
        <v>47119</v>
      </c>
      <c r="L212" s="13">
        <f ca="1">DATEDIF(J212, TODAY(), "m")</f>
        <v>39</v>
      </c>
      <c r="M212" s="25"/>
      <c r="N212" s="21" t="s">
        <v>626</v>
      </c>
      <c r="Q212" s="12">
        <v>104</v>
      </c>
      <c r="R212" s="21" t="s">
        <v>595</v>
      </c>
    </row>
    <row r="213" spans="1:22" ht="15.75" customHeight="1" x14ac:dyDescent="0.25">
      <c r="A213" s="20" t="s">
        <v>627</v>
      </c>
      <c r="B213" s="21">
        <v>201</v>
      </c>
      <c r="C213" s="22" t="s">
        <v>283</v>
      </c>
      <c r="D213" s="26" t="s">
        <v>580</v>
      </c>
      <c r="E213" s="53" t="s">
        <v>628</v>
      </c>
      <c r="F213" s="20" t="s">
        <v>205</v>
      </c>
      <c r="G213" s="20" t="s">
        <v>30</v>
      </c>
      <c r="H213" s="20" t="s">
        <v>108</v>
      </c>
      <c r="I213" s="24" t="s">
        <v>171</v>
      </c>
      <c r="J213" s="25">
        <v>44710</v>
      </c>
      <c r="K213" s="25">
        <v>46902</v>
      </c>
      <c r="L213" s="13">
        <f ca="1">DATEDIF(J213, TODAY(), "m")</f>
        <v>46</v>
      </c>
      <c r="M213" s="25"/>
      <c r="N213" s="20"/>
      <c r="Q213" s="12">
        <v>104</v>
      </c>
    </row>
    <row r="214" spans="1:22" ht="15.75" customHeight="1" x14ac:dyDescent="0.25">
      <c r="A214" s="21" t="s">
        <v>629</v>
      </c>
      <c r="B214" s="21" t="s">
        <v>630</v>
      </c>
      <c r="C214" s="22" t="s">
        <v>283</v>
      </c>
      <c r="D214" s="23" t="s">
        <v>631</v>
      </c>
      <c r="E214" s="31" t="s">
        <v>632</v>
      </c>
      <c r="F214" s="21" t="s">
        <v>205</v>
      </c>
      <c r="G214" s="21" t="s">
        <v>30</v>
      </c>
      <c r="H214" s="21" t="s">
        <v>85</v>
      </c>
      <c r="I214" s="54" t="s">
        <v>633</v>
      </c>
      <c r="L214" s="13">
        <f ca="1">DATEDIF(J214, TODAY(), "m")</f>
        <v>1515</v>
      </c>
      <c r="Q214" s="12">
        <v>104</v>
      </c>
    </row>
    <row r="215" spans="1:22" ht="15.75" customHeight="1" x14ac:dyDescent="0.25">
      <c r="A215" s="34" t="s">
        <v>634</v>
      </c>
      <c r="B215" s="34">
        <v>1017</v>
      </c>
      <c r="C215" s="22" t="s">
        <v>81</v>
      </c>
      <c r="D215" s="26" t="s">
        <v>558</v>
      </c>
      <c r="E215" s="53" t="s">
        <v>635</v>
      </c>
      <c r="F215" s="20" t="s">
        <v>205</v>
      </c>
      <c r="G215" s="20" t="s">
        <v>30</v>
      </c>
      <c r="H215" s="20" t="s">
        <v>115</v>
      </c>
      <c r="I215" s="54" t="s">
        <v>171</v>
      </c>
      <c r="J215" s="25">
        <v>44696</v>
      </c>
      <c r="K215" s="25">
        <v>46888</v>
      </c>
      <c r="L215" s="13">
        <f ca="1">DATEDIF(J215, TODAY(), "m")</f>
        <v>46</v>
      </c>
      <c r="M215" s="25"/>
      <c r="N215" s="20"/>
      <c r="Q215" s="12">
        <v>104</v>
      </c>
      <c r="R215" s="21" t="s">
        <v>89</v>
      </c>
      <c r="S215" s="21" t="s">
        <v>88</v>
      </c>
    </row>
    <row r="216" spans="1:22" ht="15.75" customHeight="1" x14ac:dyDescent="0.25">
      <c r="A216" s="21" t="s">
        <v>636</v>
      </c>
      <c r="B216" s="21">
        <v>1019</v>
      </c>
      <c r="C216" s="22" t="s">
        <v>81</v>
      </c>
      <c r="D216" s="23" t="s">
        <v>558</v>
      </c>
      <c r="E216" s="21" t="s">
        <v>637</v>
      </c>
      <c r="F216" s="21" t="s">
        <v>205</v>
      </c>
      <c r="G216" s="21" t="s">
        <v>30</v>
      </c>
      <c r="H216" s="21" t="s">
        <v>115</v>
      </c>
      <c r="I216" s="54" t="s">
        <v>171</v>
      </c>
      <c r="J216" s="25">
        <v>44696</v>
      </c>
      <c r="K216" s="25">
        <v>46888</v>
      </c>
      <c r="L216" s="13">
        <f ca="1">DATEDIF(J216, TODAY(), "m")</f>
        <v>46</v>
      </c>
      <c r="M216" s="25"/>
      <c r="Q216" s="12">
        <v>104</v>
      </c>
      <c r="R216" s="21" t="s">
        <v>89</v>
      </c>
      <c r="S216" s="21" t="s">
        <v>88</v>
      </c>
    </row>
    <row r="217" spans="1:22" ht="15.75" customHeight="1" x14ac:dyDescent="0.25">
      <c r="A217" s="56" t="s">
        <v>638</v>
      </c>
      <c r="B217" s="56">
        <v>1020</v>
      </c>
      <c r="C217" s="22" t="s">
        <v>81</v>
      </c>
      <c r="D217" s="57" t="s">
        <v>558</v>
      </c>
      <c r="E217" s="56" t="s">
        <v>639</v>
      </c>
      <c r="F217" s="56" t="s">
        <v>205</v>
      </c>
      <c r="G217" s="56" t="s">
        <v>30</v>
      </c>
      <c r="H217" s="56" t="s">
        <v>115</v>
      </c>
      <c r="I217" s="58" t="s">
        <v>171</v>
      </c>
      <c r="J217" s="59">
        <v>44696</v>
      </c>
      <c r="K217" s="59">
        <v>46888</v>
      </c>
      <c r="L217" s="13">
        <f ca="1">DATEDIF(J217, TODAY(), "m")</f>
        <v>46</v>
      </c>
      <c r="M217" s="59"/>
      <c r="N217" s="56"/>
      <c r="O217" s="56"/>
      <c r="P217" s="56"/>
      <c r="Q217" s="12">
        <v>104</v>
      </c>
      <c r="R217" s="56" t="s">
        <v>89</v>
      </c>
      <c r="S217" s="56" t="s">
        <v>88</v>
      </c>
      <c r="T217" s="56"/>
      <c r="U217" s="56"/>
      <c r="V217" s="60" t="s">
        <v>640</v>
      </c>
    </row>
    <row r="218" spans="1:22" ht="15.75" customHeight="1" x14ac:dyDescent="0.25">
      <c r="A218" s="21" t="s">
        <v>641</v>
      </c>
      <c r="B218" s="21">
        <v>1018</v>
      </c>
      <c r="C218" s="22" t="s">
        <v>81</v>
      </c>
      <c r="D218" s="23" t="s">
        <v>558</v>
      </c>
      <c r="E218" s="21" t="s">
        <v>642</v>
      </c>
      <c r="F218" s="21" t="s">
        <v>205</v>
      </c>
      <c r="G218" s="21" t="s">
        <v>30</v>
      </c>
      <c r="H218" s="21" t="s">
        <v>115</v>
      </c>
      <c r="I218" s="54" t="s">
        <v>171</v>
      </c>
      <c r="J218" s="25">
        <v>44696</v>
      </c>
      <c r="K218" s="25">
        <v>46888</v>
      </c>
      <c r="L218" s="13">
        <f ca="1">DATEDIF(J218, TODAY(), "m")</f>
        <v>46</v>
      </c>
      <c r="M218" s="25"/>
      <c r="Q218" s="12">
        <v>104</v>
      </c>
      <c r="R218" s="21" t="s">
        <v>89</v>
      </c>
      <c r="S218" s="21" t="s">
        <v>88</v>
      </c>
    </row>
    <row r="219" spans="1:22" ht="15.75" customHeight="1" x14ac:dyDescent="0.25">
      <c r="A219" s="20" t="s">
        <v>643</v>
      </c>
      <c r="C219" s="22" t="s">
        <v>283</v>
      </c>
      <c r="D219" s="26" t="s">
        <v>561</v>
      </c>
      <c r="E219" s="20" t="s">
        <v>644</v>
      </c>
      <c r="F219" s="20" t="s">
        <v>205</v>
      </c>
      <c r="G219" s="20" t="s">
        <v>30</v>
      </c>
      <c r="H219" s="20" t="s">
        <v>115</v>
      </c>
      <c r="I219" s="24" t="s">
        <v>109</v>
      </c>
      <c r="J219" s="25">
        <v>44866</v>
      </c>
      <c r="K219" s="25">
        <v>46327</v>
      </c>
      <c r="L219" s="13">
        <f ca="1">DATEDIF(J219, TODAY(), "m")</f>
        <v>41</v>
      </c>
      <c r="M219" s="25"/>
      <c r="N219" s="20"/>
      <c r="Q219" s="12">
        <v>104</v>
      </c>
      <c r="V219" s="22" t="s">
        <v>645</v>
      </c>
    </row>
    <row r="220" spans="1:22" ht="15.75" customHeight="1" x14ac:dyDescent="0.25">
      <c r="A220" s="21" t="s">
        <v>646</v>
      </c>
      <c r="C220" s="52" t="s">
        <v>23</v>
      </c>
      <c r="D220" s="23" t="s">
        <v>24</v>
      </c>
      <c r="E220" s="21" t="s">
        <v>647</v>
      </c>
      <c r="F220" s="21" t="s">
        <v>205</v>
      </c>
      <c r="G220" s="21" t="s">
        <v>30</v>
      </c>
      <c r="H220" s="21" t="s">
        <v>85</v>
      </c>
      <c r="I220" s="24" t="s">
        <v>633</v>
      </c>
      <c r="J220" s="25">
        <v>44865</v>
      </c>
      <c r="K220" s="25">
        <v>47057</v>
      </c>
      <c r="L220" s="13">
        <f ca="1">DATEDIF(J220, TODAY(), "m")</f>
        <v>41</v>
      </c>
      <c r="M220" s="25"/>
      <c r="Q220" s="12">
        <v>104</v>
      </c>
    </row>
    <row r="221" spans="1:22" ht="15.75" customHeight="1" x14ac:dyDescent="0.25">
      <c r="A221" s="20" t="s">
        <v>648</v>
      </c>
      <c r="C221" s="22" t="s">
        <v>283</v>
      </c>
      <c r="D221" s="26" t="s">
        <v>649</v>
      </c>
      <c r="E221" s="20" t="s">
        <v>650</v>
      </c>
      <c r="F221" s="20" t="s">
        <v>327</v>
      </c>
      <c r="G221" s="20" t="s">
        <v>30</v>
      </c>
      <c r="H221" s="20" t="s">
        <v>115</v>
      </c>
      <c r="I221" s="24" t="s">
        <v>101</v>
      </c>
      <c r="J221" s="25">
        <v>44712</v>
      </c>
      <c r="K221" s="25">
        <v>47269</v>
      </c>
      <c r="L221" s="13">
        <f ca="1">DATEDIF(J221, TODAY(), "m")</f>
        <v>46</v>
      </c>
      <c r="M221" s="25"/>
      <c r="N221" s="20" t="s">
        <v>516</v>
      </c>
      <c r="Q221" s="12">
        <v>104</v>
      </c>
    </row>
    <row r="222" spans="1:22" ht="15.75" customHeight="1" x14ac:dyDescent="0.25">
      <c r="A222" s="21" t="s">
        <v>651</v>
      </c>
      <c r="C222" s="61" t="s">
        <v>283</v>
      </c>
      <c r="D222" s="23" t="s">
        <v>652</v>
      </c>
      <c r="E222" s="21" t="s">
        <v>653</v>
      </c>
      <c r="F222" s="21" t="s">
        <v>205</v>
      </c>
      <c r="G222" s="21" t="s">
        <v>30</v>
      </c>
      <c r="H222" s="21" t="s">
        <v>108</v>
      </c>
      <c r="I222" s="24" t="s">
        <v>654</v>
      </c>
      <c r="L222" s="13">
        <f ca="1">DATEDIF(J222, TODAY(), "m")</f>
        <v>1515</v>
      </c>
      <c r="Q222" s="12">
        <v>104</v>
      </c>
    </row>
    <row r="223" spans="1:22" ht="15.75" customHeight="1" x14ac:dyDescent="0.25">
      <c r="A223" s="20" t="s">
        <v>655</v>
      </c>
      <c r="B223" s="21">
        <v>1024</v>
      </c>
      <c r="C223" s="22" t="s">
        <v>81</v>
      </c>
      <c r="D223" s="26" t="s">
        <v>558</v>
      </c>
      <c r="E223" s="20" t="s">
        <v>656</v>
      </c>
      <c r="F223" s="20" t="s">
        <v>205</v>
      </c>
      <c r="G223" s="20" t="s">
        <v>30</v>
      </c>
      <c r="H223" s="20" t="s">
        <v>100</v>
      </c>
      <c r="I223" s="24" t="s">
        <v>171</v>
      </c>
      <c r="J223" s="25">
        <v>44866</v>
      </c>
      <c r="K223" s="25">
        <v>47058</v>
      </c>
      <c r="L223" s="13">
        <f ca="1">DATEDIF(J223, TODAY(), "m")</f>
        <v>41</v>
      </c>
      <c r="M223" s="25"/>
      <c r="N223" s="20"/>
      <c r="Q223" s="12">
        <v>104</v>
      </c>
      <c r="R223" s="21" t="s">
        <v>89</v>
      </c>
      <c r="S223" s="21" t="s">
        <v>88</v>
      </c>
    </row>
    <row r="224" spans="1:22" ht="15.75" customHeight="1" x14ac:dyDescent="0.25">
      <c r="A224" s="21" t="s">
        <v>657</v>
      </c>
      <c r="C224" s="22" t="s">
        <v>283</v>
      </c>
      <c r="D224" s="23" t="s">
        <v>658</v>
      </c>
      <c r="E224" s="21" t="s">
        <v>659</v>
      </c>
      <c r="F224" s="21" t="s">
        <v>205</v>
      </c>
      <c r="G224" s="21" t="s">
        <v>30</v>
      </c>
      <c r="H224" s="21" t="s">
        <v>31</v>
      </c>
      <c r="I224" s="24" t="s">
        <v>171</v>
      </c>
      <c r="J224" s="25">
        <v>44866</v>
      </c>
      <c r="K224" s="25">
        <v>47423</v>
      </c>
      <c r="L224" s="13">
        <f ca="1">DATEDIF(J224, TODAY(), "m")</f>
        <v>41</v>
      </c>
      <c r="M224" s="25"/>
      <c r="P224" s="21" t="s">
        <v>660</v>
      </c>
      <c r="Q224" s="12">
        <v>104</v>
      </c>
      <c r="R224" s="21" t="s">
        <v>661</v>
      </c>
    </row>
    <row r="225" spans="1:22" ht="15.75" customHeight="1" x14ac:dyDescent="0.25">
      <c r="A225" s="20" t="s">
        <v>662</v>
      </c>
      <c r="C225" s="22" t="s">
        <v>283</v>
      </c>
      <c r="D225" s="26" t="s">
        <v>658</v>
      </c>
      <c r="E225" s="20" t="s">
        <v>663</v>
      </c>
      <c r="F225" s="20" t="s">
        <v>205</v>
      </c>
      <c r="G225" s="20" t="s">
        <v>30</v>
      </c>
      <c r="H225" s="20" t="s">
        <v>31</v>
      </c>
      <c r="I225" s="24" t="s">
        <v>171</v>
      </c>
      <c r="J225" s="25">
        <v>44866</v>
      </c>
      <c r="K225" s="25">
        <v>47423</v>
      </c>
      <c r="L225" s="13">
        <f ca="1">DATEDIF(J225, TODAY(), "m")</f>
        <v>41</v>
      </c>
      <c r="M225" s="25"/>
      <c r="N225" s="20"/>
      <c r="P225" s="21" t="s">
        <v>664</v>
      </c>
      <c r="Q225" s="12">
        <v>104</v>
      </c>
      <c r="R225" s="21" t="s">
        <v>661</v>
      </c>
    </row>
    <row r="226" spans="1:22" ht="15.75" customHeight="1" x14ac:dyDescent="0.25">
      <c r="A226" s="21" t="s">
        <v>665</v>
      </c>
      <c r="C226" s="22" t="s">
        <v>283</v>
      </c>
      <c r="D226" s="23" t="s">
        <v>593</v>
      </c>
      <c r="E226" s="21" t="s">
        <v>666</v>
      </c>
      <c r="F226" s="21" t="s">
        <v>205</v>
      </c>
      <c r="G226" s="21" t="s">
        <v>30</v>
      </c>
      <c r="H226" s="21" t="s">
        <v>115</v>
      </c>
      <c r="I226" s="24" t="s">
        <v>109</v>
      </c>
      <c r="J226" s="25">
        <v>44927</v>
      </c>
      <c r="K226" s="25">
        <v>46753</v>
      </c>
      <c r="L226" s="13">
        <f ca="1">DATEDIF(J226, TODAY(), "m")</f>
        <v>39</v>
      </c>
      <c r="M226" s="25"/>
      <c r="Q226" s="12">
        <v>104</v>
      </c>
      <c r="R226" s="21" t="s">
        <v>595</v>
      </c>
    </row>
    <row r="227" spans="1:22" ht="15.75" customHeight="1" x14ac:dyDescent="0.25">
      <c r="A227" s="34" t="s">
        <v>667</v>
      </c>
      <c r="B227" s="34">
        <v>1023</v>
      </c>
      <c r="C227" s="22" t="s">
        <v>81</v>
      </c>
      <c r="D227" s="26" t="s">
        <v>558</v>
      </c>
      <c r="E227" s="20" t="s">
        <v>668</v>
      </c>
      <c r="F227" s="20" t="s">
        <v>205</v>
      </c>
      <c r="G227" s="20" t="s">
        <v>30</v>
      </c>
      <c r="H227" s="20" t="s">
        <v>100</v>
      </c>
      <c r="I227" s="24" t="s">
        <v>109</v>
      </c>
      <c r="J227" s="25">
        <v>44866</v>
      </c>
      <c r="K227" s="25">
        <v>47058</v>
      </c>
      <c r="L227" s="13">
        <f ca="1">DATEDIF(J227, TODAY(), "m")</f>
        <v>41</v>
      </c>
      <c r="M227" s="25"/>
      <c r="N227" s="20"/>
      <c r="Q227" s="12">
        <v>104</v>
      </c>
      <c r="R227" s="21" t="s">
        <v>89</v>
      </c>
      <c r="S227" s="21" t="s">
        <v>88</v>
      </c>
    </row>
    <row r="228" spans="1:22" ht="15.75" customHeight="1" x14ac:dyDescent="0.25">
      <c r="A228" s="21" t="s">
        <v>669</v>
      </c>
      <c r="C228" s="22" t="s">
        <v>283</v>
      </c>
      <c r="D228" s="23" t="s">
        <v>658</v>
      </c>
      <c r="E228" s="21" t="s">
        <v>670</v>
      </c>
      <c r="F228" s="21" t="s">
        <v>205</v>
      </c>
      <c r="G228" s="21" t="s">
        <v>30</v>
      </c>
      <c r="H228" s="21" t="s">
        <v>31</v>
      </c>
      <c r="I228" s="24" t="s">
        <v>109</v>
      </c>
      <c r="J228" s="25">
        <v>44866</v>
      </c>
      <c r="K228" s="25">
        <v>47423</v>
      </c>
      <c r="L228" s="13">
        <f ca="1">DATEDIF(J228, TODAY(), "m")</f>
        <v>41</v>
      </c>
      <c r="M228" s="25"/>
      <c r="P228" s="21" t="s">
        <v>671</v>
      </c>
      <c r="Q228" s="12">
        <v>104</v>
      </c>
      <c r="R228" s="21" t="s">
        <v>661</v>
      </c>
    </row>
    <row r="229" spans="1:22" ht="15.75" customHeight="1" x14ac:dyDescent="0.25">
      <c r="A229" s="20" t="s">
        <v>672</v>
      </c>
      <c r="C229" s="22" t="s">
        <v>283</v>
      </c>
      <c r="D229" s="26" t="s">
        <v>673</v>
      </c>
      <c r="E229" s="20" t="s">
        <v>674</v>
      </c>
      <c r="F229" s="20" t="s">
        <v>205</v>
      </c>
      <c r="G229" s="20" t="s">
        <v>30</v>
      </c>
      <c r="H229" s="20" t="s">
        <v>115</v>
      </c>
      <c r="I229" s="24" t="s">
        <v>171</v>
      </c>
      <c r="J229" s="25">
        <v>44866</v>
      </c>
      <c r="K229" s="25">
        <v>46692</v>
      </c>
      <c r="L229" s="13">
        <f ca="1">DATEDIF(J229, TODAY(), "m")</f>
        <v>41</v>
      </c>
      <c r="M229" s="25"/>
      <c r="N229" s="20"/>
      <c r="O229" s="21" t="s">
        <v>675</v>
      </c>
      <c r="Q229" s="12">
        <v>104</v>
      </c>
    </row>
    <row r="230" spans="1:22" ht="15.75" customHeight="1" x14ac:dyDescent="0.25">
      <c r="A230" s="21" t="s">
        <v>676</v>
      </c>
      <c r="C230" s="22" t="s">
        <v>283</v>
      </c>
      <c r="D230" s="23" t="s">
        <v>673</v>
      </c>
      <c r="E230" s="21" t="s">
        <v>677</v>
      </c>
      <c r="F230" s="21" t="s">
        <v>205</v>
      </c>
      <c r="G230" s="21" t="s">
        <v>30</v>
      </c>
      <c r="H230" s="21" t="s">
        <v>115</v>
      </c>
      <c r="I230" s="24" t="s">
        <v>109</v>
      </c>
      <c r="J230" s="25">
        <v>44866</v>
      </c>
      <c r="K230" s="25">
        <v>46692</v>
      </c>
      <c r="L230" s="13">
        <f ca="1">DATEDIF(J230, TODAY(), "m")</f>
        <v>41</v>
      </c>
      <c r="M230" s="25"/>
      <c r="O230" s="21" t="s">
        <v>675</v>
      </c>
      <c r="Q230" s="12">
        <v>104</v>
      </c>
    </row>
    <row r="231" spans="1:22" ht="15.75" customHeight="1" x14ac:dyDescent="0.25">
      <c r="A231" s="20" t="s">
        <v>678</v>
      </c>
      <c r="C231" s="22" t="s">
        <v>283</v>
      </c>
      <c r="D231" s="26" t="s">
        <v>673</v>
      </c>
      <c r="E231" s="20" t="s">
        <v>679</v>
      </c>
      <c r="F231" s="20" t="s">
        <v>205</v>
      </c>
      <c r="G231" s="20" t="s">
        <v>30</v>
      </c>
      <c r="H231" s="20" t="s">
        <v>115</v>
      </c>
      <c r="I231" s="24" t="s">
        <v>109</v>
      </c>
      <c r="J231" s="25">
        <v>44866</v>
      </c>
      <c r="K231" s="25">
        <v>46692</v>
      </c>
      <c r="L231" s="13">
        <f ca="1">DATEDIF(J231, TODAY(), "m")</f>
        <v>41</v>
      </c>
      <c r="M231" s="25"/>
      <c r="N231" s="20"/>
      <c r="O231" s="21" t="s">
        <v>675</v>
      </c>
      <c r="Q231" s="12">
        <v>104</v>
      </c>
    </row>
    <row r="232" spans="1:22" ht="15.75" customHeight="1" x14ac:dyDescent="0.25">
      <c r="A232" s="21" t="s">
        <v>680</v>
      </c>
      <c r="C232" s="61" t="s">
        <v>283</v>
      </c>
      <c r="D232" s="23" t="s">
        <v>681</v>
      </c>
      <c r="E232" s="21" t="s">
        <v>682</v>
      </c>
      <c r="F232" s="21" t="s">
        <v>205</v>
      </c>
      <c r="G232" s="21" t="s">
        <v>30</v>
      </c>
      <c r="H232" s="21" t="s">
        <v>115</v>
      </c>
      <c r="I232" s="24" t="s">
        <v>171</v>
      </c>
      <c r="J232" s="25">
        <v>44974</v>
      </c>
      <c r="K232" s="25">
        <v>47166</v>
      </c>
      <c r="L232" s="13">
        <f ca="1">DATEDIF(J232, TODAY(), "m")</f>
        <v>37</v>
      </c>
      <c r="M232" s="25"/>
      <c r="Q232" s="12">
        <v>104</v>
      </c>
      <c r="R232" s="21" t="s">
        <v>88</v>
      </c>
    </row>
    <row r="233" spans="1:22" ht="15.75" customHeight="1" x14ac:dyDescent="0.25">
      <c r="A233" s="20" t="s">
        <v>683</v>
      </c>
      <c r="C233" s="22" t="s">
        <v>283</v>
      </c>
      <c r="D233" s="26" t="s">
        <v>564</v>
      </c>
      <c r="E233" s="20" t="s">
        <v>684</v>
      </c>
      <c r="F233" s="20" t="s">
        <v>44</v>
      </c>
      <c r="G233" s="20" t="s">
        <v>30</v>
      </c>
      <c r="H233" s="20" t="s">
        <v>108</v>
      </c>
      <c r="I233" s="24" t="s">
        <v>109</v>
      </c>
      <c r="J233" s="25">
        <v>45245</v>
      </c>
      <c r="K233" s="25">
        <v>47437</v>
      </c>
      <c r="L233" s="13">
        <f ca="1">DATEDIF(J233, TODAY(), "m")</f>
        <v>28</v>
      </c>
      <c r="M233" s="25"/>
      <c r="N233" s="20" t="s">
        <v>543</v>
      </c>
      <c r="Q233" s="12">
        <v>104</v>
      </c>
      <c r="R233" s="21" t="s">
        <v>89</v>
      </c>
    </row>
    <row r="234" spans="1:22" ht="15.75" customHeight="1" x14ac:dyDescent="0.25">
      <c r="A234" s="21" t="s">
        <v>685</v>
      </c>
      <c r="C234" s="22" t="s">
        <v>283</v>
      </c>
      <c r="D234" s="23" t="s">
        <v>686</v>
      </c>
      <c r="E234" s="21" t="s">
        <v>687</v>
      </c>
      <c r="F234" s="21" t="s">
        <v>205</v>
      </c>
      <c r="G234" s="21" t="s">
        <v>30</v>
      </c>
      <c r="H234" s="21" t="s">
        <v>115</v>
      </c>
      <c r="I234" s="24" t="s">
        <v>171</v>
      </c>
      <c r="J234" s="25">
        <v>44927</v>
      </c>
      <c r="K234" s="25">
        <v>47119</v>
      </c>
      <c r="L234" s="13">
        <f ca="1">DATEDIF(J234, TODAY(), "m")</f>
        <v>39</v>
      </c>
      <c r="M234" s="25"/>
      <c r="Q234" s="12">
        <v>104</v>
      </c>
    </row>
    <row r="235" spans="1:22" ht="15.75" customHeight="1" x14ac:dyDescent="0.25">
      <c r="A235" s="20" t="s">
        <v>688</v>
      </c>
      <c r="B235" s="21">
        <v>1026</v>
      </c>
      <c r="C235" s="22" t="s">
        <v>81</v>
      </c>
      <c r="D235" s="26" t="s">
        <v>558</v>
      </c>
      <c r="E235" s="20" t="s">
        <v>689</v>
      </c>
      <c r="F235" s="20" t="s">
        <v>205</v>
      </c>
      <c r="G235" s="20" t="s">
        <v>30</v>
      </c>
      <c r="H235" s="20" t="s">
        <v>115</v>
      </c>
      <c r="I235" s="24" t="s">
        <v>171</v>
      </c>
      <c r="J235" s="25">
        <v>44927</v>
      </c>
      <c r="K235" s="25">
        <v>47119</v>
      </c>
      <c r="L235" s="13">
        <f ca="1">DATEDIF(J235, TODAY(), "m")</f>
        <v>39</v>
      </c>
      <c r="M235" s="25"/>
      <c r="N235" s="20"/>
      <c r="Q235" s="12">
        <v>104</v>
      </c>
      <c r="R235" s="21" t="s">
        <v>89</v>
      </c>
      <c r="S235" s="21" t="s">
        <v>88</v>
      </c>
    </row>
    <row r="236" spans="1:22" ht="15.75" customHeight="1" x14ac:dyDescent="0.25">
      <c r="A236" s="21" t="s">
        <v>690</v>
      </c>
      <c r="C236" s="9" t="s">
        <v>23</v>
      </c>
      <c r="D236" s="23" t="s">
        <v>24</v>
      </c>
      <c r="E236" s="21" t="s">
        <v>691</v>
      </c>
      <c r="F236" s="21" t="s">
        <v>205</v>
      </c>
      <c r="G236" s="21" t="s">
        <v>30</v>
      </c>
      <c r="H236" s="21" t="s">
        <v>108</v>
      </c>
      <c r="I236" s="24" t="s">
        <v>692</v>
      </c>
      <c r="J236" s="25">
        <v>44926</v>
      </c>
      <c r="K236" s="25">
        <v>47483</v>
      </c>
      <c r="L236" s="13">
        <f ca="1">DATEDIF(J236, TODAY(), "m")</f>
        <v>39</v>
      </c>
      <c r="M236" s="25"/>
      <c r="Q236" s="12">
        <v>104</v>
      </c>
    </row>
    <row r="237" spans="1:22" ht="15.75" customHeight="1" x14ac:dyDescent="0.25">
      <c r="A237" s="20" t="s">
        <v>693</v>
      </c>
      <c r="B237" s="21">
        <v>45</v>
      </c>
      <c r="C237" s="22" t="s">
        <v>283</v>
      </c>
      <c r="D237" s="26" t="s">
        <v>485</v>
      </c>
      <c r="E237" s="20" t="s">
        <v>694</v>
      </c>
      <c r="F237" s="20" t="s">
        <v>205</v>
      </c>
      <c r="G237" s="20" t="s">
        <v>30</v>
      </c>
      <c r="H237" s="20" t="s">
        <v>115</v>
      </c>
      <c r="I237" s="24" t="s">
        <v>695</v>
      </c>
      <c r="J237" s="21" t="s">
        <v>488</v>
      </c>
      <c r="K237" s="21" t="s">
        <v>488</v>
      </c>
      <c r="L237" s="13" t="e">
        <f ca="1">DATEDIF(J237, TODAY(), "m")</f>
        <v>#VALUE!</v>
      </c>
      <c r="N237" s="20"/>
      <c r="Q237" s="12">
        <v>104</v>
      </c>
      <c r="R237" s="21" t="s">
        <v>88</v>
      </c>
      <c r="V237" s="22" t="s">
        <v>568</v>
      </c>
    </row>
    <row r="238" spans="1:22" ht="15.75" customHeight="1" x14ac:dyDescent="0.25">
      <c r="A238" s="21" t="s">
        <v>696</v>
      </c>
      <c r="C238" s="22" t="s">
        <v>283</v>
      </c>
      <c r="D238" s="23" t="s">
        <v>593</v>
      </c>
      <c r="E238" s="21" t="s">
        <v>697</v>
      </c>
      <c r="F238" s="21" t="s">
        <v>44</v>
      </c>
      <c r="G238" s="21" t="s">
        <v>30</v>
      </c>
      <c r="H238" s="21" t="s">
        <v>115</v>
      </c>
      <c r="I238" s="24" t="s">
        <v>109</v>
      </c>
      <c r="J238" s="25">
        <v>45047</v>
      </c>
      <c r="K238" s="25">
        <v>46874</v>
      </c>
      <c r="L238" s="13">
        <f ca="1">DATEDIF(J238, TODAY(), "m")</f>
        <v>35</v>
      </c>
      <c r="M238" s="25"/>
      <c r="Q238" s="12">
        <v>104</v>
      </c>
      <c r="R238" s="21" t="s">
        <v>595</v>
      </c>
      <c r="V238" s="22" t="s">
        <v>568</v>
      </c>
    </row>
    <row r="239" spans="1:22" ht="15.75" customHeight="1" x14ac:dyDescent="0.25">
      <c r="A239" s="20" t="s">
        <v>698</v>
      </c>
      <c r="C239" s="22" t="s">
        <v>283</v>
      </c>
      <c r="D239" s="26" t="s">
        <v>593</v>
      </c>
      <c r="E239" s="20" t="s">
        <v>699</v>
      </c>
      <c r="F239" s="20" t="s">
        <v>44</v>
      </c>
      <c r="G239" s="20" t="s">
        <v>30</v>
      </c>
      <c r="H239" s="20" t="s">
        <v>115</v>
      </c>
      <c r="I239" s="24" t="s">
        <v>700</v>
      </c>
      <c r="J239" s="25">
        <v>45047</v>
      </c>
      <c r="K239" s="25">
        <v>46874</v>
      </c>
      <c r="L239" s="13">
        <f ca="1">DATEDIF(J239, TODAY(), "m")</f>
        <v>35</v>
      </c>
      <c r="M239" s="25"/>
      <c r="N239" s="20"/>
      <c r="Q239" s="12">
        <v>104</v>
      </c>
      <c r="R239" s="21" t="s">
        <v>595</v>
      </c>
    </row>
    <row r="240" spans="1:22" ht="15.75" customHeight="1" x14ac:dyDescent="0.25">
      <c r="A240" s="21" t="s">
        <v>701</v>
      </c>
      <c r="C240" s="9" t="s">
        <v>23</v>
      </c>
      <c r="D240" s="23" t="s">
        <v>24</v>
      </c>
      <c r="E240" s="21" t="s">
        <v>702</v>
      </c>
      <c r="F240" s="21" t="s">
        <v>44</v>
      </c>
      <c r="G240" s="21" t="s">
        <v>30</v>
      </c>
      <c r="H240" s="21" t="s">
        <v>108</v>
      </c>
      <c r="I240" s="24" t="s">
        <v>703</v>
      </c>
      <c r="J240" s="25">
        <v>45122</v>
      </c>
      <c r="K240" s="25">
        <v>47679</v>
      </c>
      <c r="L240" s="13">
        <f ca="1">DATEDIF(J240, TODAY(), "m")</f>
        <v>32</v>
      </c>
      <c r="M240" s="25"/>
      <c r="Q240" s="12">
        <v>104</v>
      </c>
    </row>
    <row r="241" spans="1:22" s="15" customFormat="1" ht="15.75" customHeight="1" x14ac:dyDescent="0.25">
      <c r="A241" s="20" t="s">
        <v>704</v>
      </c>
      <c r="B241" s="21"/>
      <c r="C241" s="9" t="s">
        <v>23</v>
      </c>
      <c r="D241" s="26" t="s">
        <v>24</v>
      </c>
      <c r="E241" s="20" t="s">
        <v>705</v>
      </c>
      <c r="F241" s="20" t="s">
        <v>44</v>
      </c>
      <c r="G241" s="20" t="s">
        <v>30</v>
      </c>
      <c r="H241" s="20" t="s">
        <v>108</v>
      </c>
      <c r="I241" s="24" t="s">
        <v>703</v>
      </c>
      <c r="J241" s="25">
        <v>45122</v>
      </c>
      <c r="K241" s="25">
        <v>47679</v>
      </c>
      <c r="L241" s="13">
        <f ca="1">DATEDIF(J241, TODAY(), "m")</f>
        <v>32</v>
      </c>
      <c r="M241" s="25"/>
      <c r="N241" s="20"/>
      <c r="O241" s="21"/>
      <c r="P241" s="21"/>
      <c r="Q241" s="12">
        <v>104</v>
      </c>
      <c r="R241" s="21"/>
      <c r="S241" s="21"/>
      <c r="T241" s="21"/>
      <c r="U241" s="21"/>
      <c r="V241" s="22"/>
    </row>
    <row r="242" spans="1:22" ht="15.75" customHeight="1" x14ac:dyDescent="0.25">
      <c r="A242" s="20" t="s">
        <v>706</v>
      </c>
      <c r="C242" s="9" t="s">
        <v>23</v>
      </c>
      <c r="D242" s="26" t="s">
        <v>24</v>
      </c>
      <c r="E242" s="21" t="s">
        <v>707</v>
      </c>
      <c r="F242" s="20">
        <v>2024</v>
      </c>
      <c r="G242" s="20" t="s">
        <v>30</v>
      </c>
      <c r="H242" s="20">
        <v>536</v>
      </c>
      <c r="I242" s="24" t="s">
        <v>703</v>
      </c>
      <c r="J242" s="25">
        <v>45122</v>
      </c>
      <c r="K242" s="25">
        <v>47679</v>
      </c>
      <c r="L242" s="13">
        <f ca="1">DATEDIF(J242, TODAY(), "m")</f>
        <v>32</v>
      </c>
      <c r="M242" s="25"/>
      <c r="N242" s="20"/>
      <c r="Q242" s="12">
        <v>104</v>
      </c>
      <c r="V242" s="16" t="s">
        <v>708</v>
      </c>
    </row>
    <row r="243" spans="1:22" ht="15.75" customHeight="1" x14ac:dyDescent="0.25">
      <c r="A243" s="20" t="s">
        <v>709</v>
      </c>
      <c r="C243" s="22" t="s">
        <v>283</v>
      </c>
      <c r="D243" s="26" t="s">
        <v>686</v>
      </c>
      <c r="E243" s="20" t="s">
        <v>710</v>
      </c>
      <c r="F243" s="20" t="s">
        <v>44</v>
      </c>
      <c r="G243" s="20" t="s">
        <v>30</v>
      </c>
      <c r="H243" s="20" t="s">
        <v>115</v>
      </c>
      <c r="I243" s="24" t="s">
        <v>171</v>
      </c>
      <c r="J243" s="25">
        <v>45245</v>
      </c>
      <c r="K243" s="25">
        <v>47437</v>
      </c>
      <c r="L243" s="13">
        <f ca="1">DATEDIF(J243, TODAY(), "m")</f>
        <v>28</v>
      </c>
      <c r="M243" s="25"/>
      <c r="N243" s="20"/>
      <c r="Q243" s="12">
        <v>104</v>
      </c>
    </row>
    <row r="244" spans="1:22" ht="15.75" customHeight="1" x14ac:dyDescent="0.25">
      <c r="A244" s="21" t="s">
        <v>711</v>
      </c>
      <c r="C244" s="22" t="s">
        <v>283</v>
      </c>
      <c r="D244" s="23" t="s">
        <v>712</v>
      </c>
      <c r="E244" s="21" t="s">
        <v>713</v>
      </c>
      <c r="F244" s="21" t="s">
        <v>44</v>
      </c>
      <c r="G244" s="21" t="s">
        <v>30</v>
      </c>
      <c r="H244" s="21" t="s">
        <v>31</v>
      </c>
      <c r="I244" s="24" t="s">
        <v>109</v>
      </c>
      <c r="J244" s="25">
        <v>45245</v>
      </c>
      <c r="K244" s="25">
        <v>46068</v>
      </c>
      <c r="L244" s="13">
        <f ca="1">DATEDIF(J244, TODAY(), "m")</f>
        <v>28</v>
      </c>
      <c r="M244" s="25"/>
      <c r="Q244" s="12">
        <v>104</v>
      </c>
    </row>
    <row r="245" spans="1:22" ht="15.75" customHeight="1" x14ac:dyDescent="0.25">
      <c r="A245" s="20" t="s">
        <v>714</v>
      </c>
      <c r="C245" s="22" t="s">
        <v>283</v>
      </c>
      <c r="D245" s="26" t="s">
        <v>712</v>
      </c>
      <c r="E245" s="20" t="s">
        <v>715</v>
      </c>
      <c r="F245" s="20" t="s">
        <v>44</v>
      </c>
      <c r="G245" s="20" t="s">
        <v>30</v>
      </c>
      <c r="H245" s="20" t="s">
        <v>31</v>
      </c>
      <c r="I245" s="24" t="s">
        <v>109</v>
      </c>
      <c r="J245" s="25">
        <v>45245</v>
      </c>
      <c r="K245" s="25">
        <v>47164</v>
      </c>
      <c r="L245" s="13">
        <f ca="1">DATEDIF(J245, TODAY(), "m")</f>
        <v>28</v>
      </c>
      <c r="M245" s="25"/>
      <c r="N245" s="20"/>
      <c r="Q245" s="12">
        <v>104</v>
      </c>
    </row>
    <row r="246" spans="1:22" ht="15.75" customHeight="1" x14ac:dyDescent="0.25">
      <c r="A246" s="21" t="s">
        <v>716</v>
      </c>
      <c r="C246" s="22" t="s">
        <v>283</v>
      </c>
      <c r="D246" s="23" t="s">
        <v>712</v>
      </c>
      <c r="E246" s="21" t="s">
        <v>717</v>
      </c>
      <c r="F246" s="21" t="s">
        <v>44</v>
      </c>
      <c r="G246" s="21" t="s">
        <v>30</v>
      </c>
      <c r="H246" s="21" t="s">
        <v>31</v>
      </c>
      <c r="I246" s="24" t="s">
        <v>109</v>
      </c>
      <c r="J246" s="25">
        <v>45245</v>
      </c>
      <c r="K246" s="25">
        <v>47164</v>
      </c>
      <c r="L246" s="13">
        <f ca="1">DATEDIF(J246, TODAY(), "m")</f>
        <v>28</v>
      </c>
      <c r="M246" s="25"/>
      <c r="Q246" s="12">
        <v>104</v>
      </c>
    </row>
    <row r="247" spans="1:22" ht="15.75" customHeight="1" x14ac:dyDescent="0.25">
      <c r="A247" s="20" t="s">
        <v>718</v>
      </c>
      <c r="C247" s="22" t="s">
        <v>283</v>
      </c>
      <c r="D247" s="26" t="s">
        <v>712</v>
      </c>
      <c r="E247" s="20" t="s">
        <v>719</v>
      </c>
      <c r="F247" s="20" t="s">
        <v>44</v>
      </c>
      <c r="G247" s="20" t="s">
        <v>30</v>
      </c>
      <c r="H247" s="20" t="s">
        <v>31</v>
      </c>
      <c r="I247" s="24" t="s">
        <v>109</v>
      </c>
      <c r="J247" s="25">
        <v>45245</v>
      </c>
      <c r="K247" s="25">
        <v>47164</v>
      </c>
      <c r="L247" s="13">
        <f ca="1">DATEDIF(J247, TODAY(), "m")</f>
        <v>28</v>
      </c>
      <c r="M247" s="25"/>
      <c r="N247" s="20"/>
      <c r="Q247" s="12">
        <v>104</v>
      </c>
    </row>
    <row r="248" spans="1:22" ht="15.75" customHeight="1" x14ac:dyDescent="0.25">
      <c r="A248" s="21" t="s">
        <v>720</v>
      </c>
      <c r="B248" s="21">
        <v>1027</v>
      </c>
      <c r="C248" s="22" t="s">
        <v>81</v>
      </c>
      <c r="D248" s="23" t="s">
        <v>558</v>
      </c>
      <c r="E248" s="21" t="s">
        <v>721</v>
      </c>
      <c r="F248" s="21" t="s">
        <v>44</v>
      </c>
      <c r="G248" s="21" t="s">
        <v>30</v>
      </c>
      <c r="H248" s="21" t="s">
        <v>115</v>
      </c>
      <c r="I248" s="24" t="s">
        <v>171</v>
      </c>
      <c r="J248" s="25">
        <v>45245</v>
      </c>
      <c r="K248" s="25">
        <v>47437</v>
      </c>
      <c r="L248" s="13">
        <f ca="1">DATEDIF(J248, TODAY(), "m")</f>
        <v>28</v>
      </c>
      <c r="M248" s="25"/>
      <c r="Q248" s="12">
        <v>104</v>
      </c>
      <c r="R248" s="21" t="s">
        <v>89</v>
      </c>
      <c r="S248" s="21" t="s">
        <v>88</v>
      </c>
    </row>
    <row r="249" spans="1:22" ht="15.75" customHeight="1" x14ac:dyDescent="0.25">
      <c r="A249" s="20" t="s">
        <v>722</v>
      </c>
      <c r="B249" s="21">
        <v>1028</v>
      </c>
      <c r="C249" s="22" t="s">
        <v>81</v>
      </c>
      <c r="D249" s="26" t="s">
        <v>558</v>
      </c>
      <c r="E249" s="20" t="s">
        <v>723</v>
      </c>
      <c r="F249" s="20" t="s">
        <v>44</v>
      </c>
      <c r="G249" s="20" t="s">
        <v>30</v>
      </c>
      <c r="H249" s="20" t="s">
        <v>115</v>
      </c>
      <c r="I249" s="24" t="s">
        <v>171</v>
      </c>
      <c r="J249" s="25">
        <v>45245</v>
      </c>
      <c r="K249" s="25">
        <v>47437</v>
      </c>
      <c r="L249" s="13">
        <f ca="1">DATEDIF(J249, TODAY(), "m")</f>
        <v>28</v>
      </c>
      <c r="M249" s="25"/>
      <c r="N249" s="20"/>
      <c r="Q249" s="12">
        <v>104</v>
      </c>
      <c r="R249" s="21" t="s">
        <v>89</v>
      </c>
      <c r="S249" s="21" t="s">
        <v>88</v>
      </c>
    </row>
    <row r="250" spans="1:22" ht="15.75" customHeight="1" x14ac:dyDescent="0.25">
      <c r="A250" s="21" t="s">
        <v>724</v>
      </c>
      <c r="B250" s="21">
        <v>1029</v>
      </c>
      <c r="C250" s="22" t="s">
        <v>81</v>
      </c>
      <c r="D250" s="23" t="s">
        <v>558</v>
      </c>
      <c r="E250" s="21" t="s">
        <v>725</v>
      </c>
      <c r="F250" s="21" t="s">
        <v>44</v>
      </c>
      <c r="G250" s="21" t="s">
        <v>30</v>
      </c>
      <c r="H250" s="21" t="s">
        <v>115</v>
      </c>
      <c r="I250" s="24" t="s">
        <v>171</v>
      </c>
      <c r="J250" s="25">
        <v>45245</v>
      </c>
      <c r="K250" s="25">
        <v>47437</v>
      </c>
      <c r="L250" s="13">
        <f ca="1">DATEDIF(J250, TODAY(), "m")</f>
        <v>28</v>
      </c>
      <c r="M250" s="25"/>
      <c r="Q250" s="12">
        <v>104</v>
      </c>
      <c r="R250" s="21" t="s">
        <v>89</v>
      </c>
      <c r="S250" s="21" t="s">
        <v>88</v>
      </c>
    </row>
    <row r="251" spans="1:22" ht="15.75" customHeight="1" x14ac:dyDescent="0.25">
      <c r="A251" s="20" t="s">
        <v>726</v>
      </c>
      <c r="C251" s="22" t="s">
        <v>283</v>
      </c>
      <c r="D251" s="26" t="s">
        <v>570</v>
      </c>
      <c r="E251" s="20" t="s">
        <v>727</v>
      </c>
      <c r="F251" s="20" t="s">
        <v>44</v>
      </c>
      <c r="G251" s="20" t="s">
        <v>30</v>
      </c>
      <c r="H251" s="20" t="s">
        <v>108</v>
      </c>
      <c r="I251" s="24" t="s">
        <v>109</v>
      </c>
      <c r="J251" s="25">
        <v>45245</v>
      </c>
      <c r="K251" s="25">
        <v>47467</v>
      </c>
      <c r="L251" s="13">
        <f ca="1">DATEDIF(J251, TODAY(), "m")</f>
        <v>28</v>
      </c>
      <c r="M251" s="25" t="s">
        <v>728</v>
      </c>
      <c r="N251" s="20"/>
      <c r="Q251" s="12">
        <v>104</v>
      </c>
      <c r="U251" s="21">
        <v>1812471240</v>
      </c>
    </row>
    <row r="252" spans="1:22" ht="15.75" customHeight="1" x14ac:dyDescent="0.25">
      <c r="A252" s="21" t="s">
        <v>729</v>
      </c>
      <c r="C252" s="22" t="s">
        <v>283</v>
      </c>
      <c r="D252" s="23" t="s">
        <v>686</v>
      </c>
      <c r="E252" s="21" t="s">
        <v>730</v>
      </c>
      <c r="F252" s="21" t="s">
        <v>44</v>
      </c>
      <c r="G252" s="21" t="s">
        <v>30</v>
      </c>
      <c r="H252" s="21" t="s">
        <v>115</v>
      </c>
      <c r="I252" s="24" t="s">
        <v>171</v>
      </c>
      <c r="J252" s="25">
        <v>45245</v>
      </c>
      <c r="K252" s="25">
        <v>47437</v>
      </c>
      <c r="L252" s="13">
        <f ca="1">DATEDIF(J252, TODAY(), "m")</f>
        <v>28</v>
      </c>
      <c r="M252" s="25"/>
      <c r="Q252" s="12">
        <v>104</v>
      </c>
    </row>
    <row r="253" spans="1:22" ht="15.75" customHeight="1" x14ac:dyDescent="0.25">
      <c r="A253" s="20" t="s">
        <v>731</v>
      </c>
      <c r="C253" s="22" t="s">
        <v>81</v>
      </c>
      <c r="D253" s="26" t="s">
        <v>732</v>
      </c>
      <c r="E253" s="20" t="s">
        <v>733</v>
      </c>
      <c r="F253" s="20" t="s">
        <v>44</v>
      </c>
      <c r="G253" s="20" t="s">
        <v>30</v>
      </c>
      <c r="H253" s="20" t="s">
        <v>31</v>
      </c>
      <c r="I253" s="24" t="s">
        <v>101</v>
      </c>
      <c r="J253" s="62">
        <v>45048</v>
      </c>
      <c r="L253" s="13">
        <f ca="1">DATEDIF(J253, TODAY(), "m")</f>
        <v>35</v>
      </c>
      <c r="N253" s="20"/>
      <c r="O253" s="21" t="s">
        <v>734</v>
      </c>
      <c r="P253" s="21" t="s">
        <v>735</v>
      </c>
      <c r="Q253" s="12">
        <v>104</v>
      </c>
    </row>
    <row r="254" spans="1:22" ht="15.75" customHeight="1" x14ac:dyDescent="0.25">
      <c r="A254" s="30" t="s">
        <v>736</v>
      </c>
      <c r="C254" s="22" t="s">
        <v>81</v>
      </c>
      <c r="D254" s="23" t="s">
        <v>732</v>
      </c>
      <c r="E254" s="21" t="s">
        <v>737</v>
      </c>
      <c r="F254" s="21" t="s">
        <v>44</v>
      </c>
      <c r="G254" s="21" t="s">
        <v>30</v>
      </c>
      <c r="H254" s="21" t="s">
        <v>31</v>
      </c>
      <c r="I254" s="24" t="s">
        <v>101</v>
      </c>
      <c r="L254" s="13">
        <f ca="1">DATEDIF(J254, TODAY(), "m")</f>
        <v>1515</v>
      </c>
      <c r="O254" s="21" t="s">
        <v>734</v>
      </c>
      <c r="P254" s="21" t="s">
        <v>738</v>
      </c>
      <c r="Q254" s="12">
        <v>104</v>
      </c>
      <c r="V254" s="32" t="s">
        <v>218</v>
      </c>
    </row>
    <row r="255" spans="1:22" ht="15.75" customHeight="1" x14ac:dyDescent="0.25">
      <c r="A255" s="20" t="s">
        <v>739</v>
      </c>
      <c r="C255" s="9" t="s">
        <v>23</v>
      </c>
      <c r="D255" s="23" t="s">
        <v>24</v>
      </c>
      <c r="E255" s="20" t="s">
        <v>740</v>
      </c>
      <c r="F255" s="20" t="s">
        <v>44</v>
      </c>
      <c r="G255" s="20" t="s">
        <v>30</v>
      </c>
      <c r="H255" s="20" t="s">
        <v>108</v>
      </c>
      <c r="I255" s="24" t="s">
        <v>181</v>
      </c>
      <c r="J255" s="25">
        <v>45245</v>
      </c>
      <c r="K255" s="25">
        <v>47802</v>
      </c>
      <c r="L255" s="13">
        <f ca="1">DATEDIF(J255, TODAY(), "m")</f>
        <v>28</v>
      </c>
      <c r="M255" s="25"/>
      <c r="N255" s="20"/>
      <c r="Q255" s="12">
        <v>104</v>
      </c>
    </row>
    <row r="256" spans="1:22" ht="15.75" customHeight="1" x14ac:dyDescent="0.25">
      <c r="A256" s="21" t="s">
        <v>741</v>
      </c>
      <c r="C256" s="22" t="s">
        <v>283</v>
      </c>
      <c r="D256" s="23" t="s">
        <v>742</v>
      </c>
      <c r="E256" s="21" t="s">
        <v>743</v>
      </c>
      <c r="F256" s="21" t="s">
        <v>44</v>
      </c>
      <c r="G256" s="21" t="s">
        <v>30</v>
      </c>
      <c r="H256" s="21" t="s">
        <v>31</v>
      </c>
      <c r="I256" s="24" t="s">
        <v>101</v>
      </c>
      <c r="J256" s="21" t="s">
        <v>488</v>
      </c>
      <c r="K256" s="21" t="s">
        <v>488</v>
      </c>
      <c r="L256" s="13" t="e">
        <f ca="1">DATEDIF(J256, TODAY(), "m")</f>
        <v>#VALUE!</v>
      </c>
      <c r="Q256" s="12">
        <v>104</v>
      </c>
      <c r="R256" s="21" t="s">
        <v>88</v>
      </c>
    </row>
    <row r="257" spans="1:18" ht="15.75" customHeight="1" x14ac:dyDescent="0.25">
      <c r="A257" s="20" t="s">
        <v>744</v>
      </c>
      <c r="C257" s="22" t="s">
        <v>283</v>
      </c>
      <c r="D257" s="26" t="s">
        <v>742</v>
      </c>
      <c r="E257" s="20" t="s">
        <v>745</v>
      </c>
      <c r="F257" s="20" t="s">
        <v>44</v>
      </c>
      <c r="G257" s="20" t="s">
        <v>30</v>
      </c>
      <c r="H257" s="20" t="s">
        <v>31</v>
      </c>
      <c r="I257" s="24" t="s">
        <v>101</v>
      </c>
      <c r="J257" s="21" t="s">
        <v>488</v>
      </c>
      <c r="K257" s="21" t="s">
        <v>488</v>
      </c>
      <c r="L257" s="13" t="e">
        <f ca="1">DATEDIF(J257, TODAY(), "m")</f>
        <v>#VALUE!</v>
      </c>
      <c r="N257" s="20"/>
      <c r="Q257" s="12">
        <v>104</v>
      </c>
      <c r="R257" s="21" t="s">
        <v>88</v>
      </c>
    </row>
    <row r="258" spans="1:18" ht="15.75" customHeight="1" x14ac:dyDescent="0.25">
      <c r="A258" s="21" t="s">
        <v>746</v>
      </c>
      <c r="C258" s="22" t="s">
        <v>283</v>
      </c>
      <c r="D258" s="23" t="s">
        <v>742</v>
      </c>
      <c r="E258" s="21" t="s">
        <v>747</v>
      </c>
      <c r="F258" s="21" t="s">
        <v>44</v>
      </c>
      <c r="G258" s="21" t="s">
        <v>30</v>
      </c>
      <c r="H258" s="21" t="s">
        <v>31</v>
      </c>
      <c r="I258" s="24" t="s">
        <v>101</v>
      </c>
      <c r="J258" s="21" t="s">
        <v>488</v>
      </c>
      <c r="K258" s="21" t="s">
        <v>488</v>
      </c>
      <c r="L258" s="13" t="e">
        <f ca="1">DATEDIF(J258, TODAY(), "m")</f>
        <v>#VALUE!</v>
      </c>
      <c r="Q258" s="12">
        <v>104</v>
      </c>
      <c r="R258" s="21" t="s">
        <v>88</v>
      </c>
    </row>
    <row r="259" spans="1:18" ht="15.75" customHeight="1" x14ac:dyDescent="0.25">
      <c r="A259" s="20" t="s">
        <v>748</v>
      </c>
      <c r="C259" s="22" t="s">
        <v>283</v>
      </c>
      <c r="D259" s="26" t="s">
        <v>742</v>
      </c>
      <c r="E259" s="20" t="s">
        <v>749</v>
      </c>
      <c r="F259" s="20" t="s">
        <v>44</v>
      </c>
      <c r="G259" s="20" t="s">
        <v>30</v>
      </c>
      <c r="H259" s="20" t="s">
        <v>31</v>
      </c>
      <c r="I259" s="24" t="s">
        <v>101</v>
      </c>
      <c r="J259" s="21" t="s">
        <v>488</v>
      </c>
      <c r="K259" s="21" t="s">
        <v>488</v>
      </c>
      <c r="L259" s="13" t="e">
        <f ca="1">DATEDIF(J259, TODAY(), "m")</f>
        <v>#VALUE!</v>
      </c>
      <c r="N259" s="20"/>
      <c r="Q259" s="12">
        <v>104</v>
      </c>
      <c r="R259" s="21" t="s">
        <v>88</v>
      </c>
    </row>
    <row r="260" spans="1:18" ht="15.75" customHeight="1" x14ac:dyDescent="0.25">
      <c r="A260" s="21" t="s">
        <v>750</v>
      </c>
      <c r="C260" s="22" t="s">
        <v>283</v>
      </c>
      <c r="D260" s="23" t="s">
        <v>742</v>
      </c>
      <c r="E260" s="21" t="s">
        <v>751</v>
      </c>
      <c r="F260" s="21" t="s">
        <v>44</v>
      </c>
      <c r="G260" s="21" t="s">
        <v>30</v>
      </c>
      <c r="H260" s="21" t="s">
        <v>31</v>
      </c>
      <c r="I260" s="24" t="s">
        <v>101</v>
      </c>
      <c r="J260" s="21" t="s">
        <v>488</v>
      </c>
      <c r="K260" s="21" t="s">
        <v>488</v>
      </c>
      <c r="L260" s="13" t="e">
        <f ca="1">DATEDIF(J260, TODAY(), "m")</f>
        <v>#VALUE!</v>
      </c>
      <c r="Q260" s="12">
        <v>104</v>
      </c>
      <c r="R260" s="21" t="s">
        <v>88</v>
      </c>
    </row>
    <row r="261" spans="1:18" ht="15.75" customHeight="1" x14ac:dyDescent="0.25">
      <c r="A261" s="20" t="s">
        <v>752</v>
      </c>
      <c r="C261" s="9" t="s">
        <v>23</v>
      </c>
      <c r="D261" s="23" t="s">
        <v>24</v>
      </c>
      <c r="E261" s="20" t="s">
        <v>753</v>
      </c>
      <c r="F261" s="20" t="s">
        <v>44</v>
      </c>
      <c r="G261" s="20" t="s">
        <v>30</v>
      </c>
      <c r="H261" s="20" t="s">
        <v>31</v>
      </c>
      <c r="I261" s="24" t="s">
        <v>109</v>
      </c>
      <c r="J261" s="25">
        <v>45245</v>
      </c>
      <c r="K261" s="25">
        <v>47437</v>
      </c>
      <c r="L261" s="13">
        <f ca="1">DATEDIF(J261, TODAY(), "m")</f>
        <v>28</v>
      </c>
      <c r="M261" s="25"/>
      <c r="N261" s="20"/>
      <c r="Q261" s="12">
        <v>104</v>
      </c>
    </row>
    <row r="262" spans="1:18" ht="15.75" customHeight="1" x14ac:dyDescent="0.25">
      <c r="A262" s="21" t="s">
        <v>754</v>
      </c>
      <c r="C262" s="9" t="s">
        <v>23</v>
      </c>
      <c r="D262" s="23" t="s">
        <v>24</v>
      </c>
      <c r="E262" s="21" t="s">
        <v>755</v>
      </c>
      <c r="F262" s="21" t="s">
        <v>44</v>
      </c>
      <c r="G262" s="21" t="s">
        <v>30</v>
      </c>
      <c r="H262" s="21" t="s">
        <v>31</v>
      </c>
      <c r="I262" s="24" t="s">
        <v>109</v>
      </c>
      <c r="J262" s="25">
        <v>45245</v>
      </c>
      <c r="K262" s="25">
        <v>47437</v>
      </c>
      <c r="L262" s="13">
        <f ca="1">DATEDIF(J262, TODAY(), "m")</f>
        <v>28</v>
      </c>
      <c r="M262" s="25"/>
      <c r="Q262" s="12">
        <v>104</v>
      </c>
    </row>
    <row r="263" spans="1:18" ht="15.75" customHeight="1" x14ac:dyDescent="0.25">
      <c r="A263" s="20" t="s">
        <v>756</v>
      </c>
      <c r="C263" s="22" t="s">
        <v>283</v>
      </c>
      <c r="D263" s="26" t="s">
        <v>757</v>
      </c>
      <c r="E263" s="20" t="s">
        <v>758</v>
      </c>
      <c r="F263" s="20" t="s">
        <v>148</v>
      </c>
      <c r="G263" s="20" t="s">
        <v>30</v>
      </c>
      <c r="H263" s="20" t="s">
        <v>759</v>
      </c>
      <c r="I263" s="24" t="s">
        <v>171</v>
      </c>
      <c r="J263" s="25">
        <v>44866</v>
      </c>
      <c r="K263" s="25">
        <v>46692</v>
      </c>
      <c r="L263" s="13">
        <f ca="1">DATEDIF(J263, TODAY(), "m")</f>
        <v>41</v>
      </c>
      <c r="M263" s="25"/>
      <c r="N263" s="20"/>
      <c r="Q263" s="12">
        <v>104</v>
      </c>
    </row>
    <row r="264" spans="1:18" ht="15.75" customHeight="1" x14ac:dyDescent="0.25">
      <c r="A264" s="21" t="s">
        <v>760</v>
      </c>
      <c r="C264" s="22" t="s">
        <v>283</v>
      </c>
      <c r="D264" s="23" t="s">
        <v>545</v>
      </c>
      <c r="E264" s="21" t="s">
        <v>761</v>
      </c>
      <c r="F264" s="21" t="s">
        <v>148</v>
      </c>
      <c r="G264" s="21" t="s">
        <v>30</v>
      </c>
      <c r="H264" s="21" t="s">
        <v>108</v>
      </c>
      <c r="I264" s="24" t="s">
        <v>109</v>
      </c>
      <c r="J264" s="25">
        <v>45536</v>
      </c>
      <c r="K264" s="25">
        <v>48183</v>
      </c>
      <c r="L264" s="13">
        <f ca="1">DATEDIF(J264, TODAY(), "m")</f>
        <v>19</v>
      </c>
      <c r="M264" s="25"/>
      <c r="Q264" s="12">
        <v>104</v>
      </c>
      <c r="R264" s="21" t="s">
        <v>547</v>
      </c>
    </row>
    <row r="265" spans="1:18" ht="15.75" customHeight="1" x14ac:dyDescent="0.25">
      <c r="A265" s="20" t="s">
        <v>762</v>
      </c>
      <c r="C265" s="9" t="s">
        <v>23</v>
      </c>
      <c r="D265" s="23" t="s">
        <v>24</v>
      </c>
      <c r="E265" s="20" t="s">
        <v>763</v>
      </c>
      <c r="F265" s="20" t="s">
        <v>44</v>
      </c>
      <c r="G265" s="20" t="s">
        <v>30</v>
      </c>
      <c r="H265" s="20" t="s">
        <v>115</v>
      </c>
      <c r="I265" s="24" t="s">
        <v>109</v>
      </c>
      <c r="J265" s="25">
        <v>45245</v>
      </c>
      <c r="K265" s="25">
        <v>47437</v>
      </c>
      <c r="L265" s="13">
        <f ca="1">DATEDIF(J265, TODAY(), "m")</f>
        <v>28</v>
      </c>
      <c r="M265" s="25"/>
      <c r="N265" s="20"/>
      <c r="Q265" s="12">
        <v>104</v>
      </c>
    </row>
    <row r="266" spans="1:18" ht="15.75" customHeight="1" x14ac:dyDescent="0.25">
      <c r="A266" s="21" t="s">
        <v>764</v>
      </c>
      <c r="C266" s="9" t="s">
        <v>23</v>
      </c>
      <c r="D266" s="23" t="s">
        <v>24</v>
      </c>
      <c r="E266" s="21" t="s">
        <v>765</v>
      </c>
      <c r="F266" s="21" t="s">
        <v>44</v>
      </c>
      <c r="G266" s="21" t="s">
        <v>30</v>
      </c>
      <c r="H266" s="21" t="s">
        <v>115</v>
      </c>
      <c r="I266" s="24" t="s">
        <v>109</v>
      </c>
      <c r="J266" s="25">
        <v>45245</v>
      </c>
      <c r="K266" s="25">
        <v>47437</v>
      </c>
      <c r="L266" s="13">
        <f ca="1">DATEDIF(J266, TODAY(), "m")</f>
        <v>28</v>
      </c>
      <c r="M266" s="25"/>
      <c r="Q266" s="12">
        <v>104</v>
      </c>
    </row>
    <row r="267" spans="1:18" ht="15.75" customHeight="1" x14ac:dyDescent="0.25">
      <c r="A267" s="20" t="s">
        <v>766</v>
      </c>
      <c r="C267" s="22" t="s">
        <v>283</v>
      </c>
      <c r="D267" s="26" t="s">
        <v>767</v>
      </c>
      <c r="E267" s="20" t="s">
        <v>768</v>
      </c>
      <c r="F267" s="20" t="s">
        <v>44</v>
      </c>
      <c r="G267" s="20" t="s">
        <v>30</v>
      </c>
      <c r="H267" s="20">
        <v>548</v>
      </c>
      <c r="I267" s="24" t="s">
        <v>502</v>
      </c>
      <c r="J267" s="25">
        <v>45245</v>
      </c>
      <c r="K267" s="25">
        <v>47102</v>
      </c>
      <c r="L267" s="13">
        <f ca="1">DATEDIF(J267, TODAY(), "m")</f>
        <v>28</v>
      </c>
      <c r="M267" s="25"/>
      <c r="N267" s="20"/>
      <c r="Q267" s="12">
        <v>104</v>
      </c>
      <c r="R267" s="21" t="s">
        <v>88</v>
      </c>
    </row>
    <row r="268" spans="1:18" ht="15.75" customHeight="1" x14ac:dyDescent="0.25">
      <c r="A268" s="21" t="s">
        <v>769</v>
      </c>
      <c r="C268" s="22" t="s">
        <v>283</v>
      </c>
      <c r="D268" s="23" t="s">
        <v>770</v>
      </c>
      <c r="E268" s="21" t="s">
        <v>771</v>
      </c>
      <c r="F268" s="21" t="s">
        <v>148</v>
      </c>
      <c r="G268" s="21" t="s">
        <v>30</v>
      </c>
      <c r="H268" s="21" t="s">
        <v>115</v>
      </c>
      <c r="I268" s="24" t="s">
        <v>171</v>
      </c>
      <c r="J268" s="25">
        <v>45536</v>
      </c>
      <c r="K268" s="25">
        <v>48092</v>
      </c>
      <c r="L268" s="13">
        <f ca="1">DATEDIF(J268, TODAY(), "m")</f>
        <v>19</v>
      </c>
      <c r="M268" s="25"/>
      <c r="Q268" s="12">
        <v>104</v>
      </c>
      <c r="R268" s="21" t="s">
        <v>88</v>
      </c>
    </row>
    <row r="269" spans="1:18" ht="15.75" customHeight="1" x14ac:dyDescent="0.25">
      <c r="A269" s="20" t="s">
        <v>772</v>
      </c>
      <c r="B269" s="27"/>
      <c r="C269" s="63" t="s">
        <v>283</v>
      </c>
      <c r="D269" s="26" t="s">
        <v>773</v>
      </c>
      <c r="E269" s="20" t="s">
        <v>774</v>
      </c>
      <c r="F269" s="20" t="s">
        <v>148</v>
      </c>
      <c r="G269" s="20" t="s">
        <v>30</v>
      </c>
      <c r="H269" s="20" t="s">
        <v>31</v>
      </c>
      <c r="I269" s="24" t="s">
        <v>109</v>
      </c>
      <c r="L269" s="13">
        <f ca="1">DATEDIF(J269, TODAY(), "m")</f>
        <v>1515</v>
      </c>
      <c r="N269" s="20"/>
      <c r="P269" s="21" t="s">
        <v>775</v>
      </c>
      <c r="Q269" s="12">
        <v>104</v>
      </c>
    </row>
    <row r="270" spans="1:18" ht="15.75" customHeight="1" x14ac:dyDescent="0.25">
      <c r="A270" s="21" t="s">
        <v>776</v>
      </c>
      <c r="C270" s="22" t="s">
        <v>283</v>
      </c>
      <c r="D270" s="23" t="s">
        <v>570</v>
      </c>
      <c r="E270" s="21" t="s">
        <v>777</v>
      </c>
      <c r="F270" s="21" t="s">
        <v>44</v>
      </c>
      <c r="G270" s="21" t="s">
        <v>30</v>
      </c>
      <c r="H270" s="21" t="s">
        <v>31</v>
      </c>
      <c r="I270" s="24" t="s">
        <v>171</v>
      </c>
      <c r="J270" s="25">
        <v>45351</v>
      </c>
      <c r="K270" s="25">
        <v>47542</v>
      </c>
      <c r="L270" s="13">
        <f ca="1">DATEDIF(J270, TODAY(), "m")</f>
        <v>25</v>
      </c>
      <c r="M270" s="25"/>
      <c r="Q270" s="12">
        <v>104</v>
      </c>
    </row>
    <row r="271" spans="1:18" ht="15.75" customHeight="1" x14ac:dyDescent="0.25">
      <c r="A271" s="20" t="s">
        <v>778</v>
      </c>
      <c r="C271" s="22" t="s">
        <v>283</v>
      </c>
      <c r="D271" s="26" t="s">
        <v>561</v>
      </c>
      <c r="E271" s="20" t="s">
        <v>779</v>
      </c>
      <c r="F271" s="20">
        <v>2025</v>
      </c>
      <c r="G271" s="20" t="s">
        <v>30</v>
      </c>
      <c r="H271" s="20">
        <v>579</v>
      </c>
      <c r="I271" s="24" t="s">
        <v>109</v>
      </c>
      <c r="J271" s="25">
        <v>45458</v>
      </c>
      <c r="K271" s="25">
        <v>46919</v>
      </c>
      <c r="L271" s="13">
        <f ca="1">DATEDIF(J271, TODAY(), "m")</f>
        <v>21</v>
      </c>
      <c r="M271" s="25"/>
      <c r="N271" s="20"/>
      <c r="Q271" s="12">
        <v>104</v>
      </c>
    </row>
    <row r="272" spans="1:18" ht="15.75" customHeight="1" x14ac:dyDescent="0.25">
      <c r="A272" s="21" t="s">
        <v>780</v>
      </c>
      <c r="C272" s="22" t="s">
        <v>283</v>
      </c>
      <c r="D272" s="23" t="s">
        <v>781</v>
      </c>
      <c r="E272" s="21" t="s">
        <v>782</v>
      </c>
      <c r="F272" s="21" t="s">
        <v>148</v>
      </c>
      <c r="G272" s="21" t="s">
        <v>30</v>
      </c>
      <c r="H272" s="21">
        <v>548</v>
      </c>
      <c r="I272" s="24" t="s">
        <v>95</v>
      </c>
      <c r="J272" s="25">
        <v>45444</v>
      </c>
      <c r="K272" s="25">
        <v>48000</v>
      </c>
      <c r="L272" s="13">
        <f ca="1">DATEDIF(J272, TODAY(), "m")</f>
        <v>22</v>
      </c>
      <c r="M272" s="25"/>
      <c r="N272" s="64"/>
      <c r="P272" s="21" t="s">
        <v>783</v>
      </c>
      <c r="Q272" s="12">
        <v>104</v>
      </c>
      <c r="R272" s="21" t="s">
        <v>89</v>
      </c>
    </row>
    <row r="273" spans="1:22" ht="15.75" customHeight="1" x14ac:dyDescent="0.25">
      <c r="A273" s="21" t="s">
        <v>784</v>
      </c>
      <c r="C273" s="22" t="s">
        <v>283</v>
      </c>
      <c r="D273" s="23" t="s">
        <v>631</v>
      </c>
      <c r="E273" s="28" t="s">
        <v>785</v>
      </c>
      <c r="F273" s="21">
        <v>2025</v>
      </c>
      <c r="G273" s="21" t="s">
        <v>30</v>
      </c>
      <c r="H273" s="21">
        <v>548</v>
      </c>
      <c r="I273" s="24" t="s">
        <v>786</v>
      </c>
      <c r="L273" s="13">
        <f ca="1">DATEDIF(J273, TODAY(), "m")</f>
        <v>1515</v>
      </c>
      <c r="Q273" s="12">
        <v>104</v>
      </c>
    </row>
    <row r="274" spans="1:22" ht="15.75" customHeight="1" x14ac:dyDescent="0.25">
      <c r="A274" s="27" t="s">
        <v>787</v>
      </c>
      <c r="B274" s="21">
        <v>1032</v>
      </c>
      <c r="C274" s="22" t="s">
        <v>81</v>
      </c>
      <c r="D274" s="23" t="s">
        <v>558</v>
      </c>
      <c r="E274" s="28" t="s">
        <v>788</v>
      </c>
      <c r="F274" s="21">
        <v>2025</v>
      </c>
      <c r="G274" s="21" t="s">
        <v>30</v>
      </c>
      <c r="H274" s="21">
        <v>567</v>
      </c>
      <c r="I274" s="24" t="s">
        <v>171</v>
      </c>
      <c r="J274" s="25">
        <v>45473</v>
      </c>
      <c r="K274" s="25">
        <v>47299</v>
      </c>
      <c r="L274" s="13">
        <f ca="1">DATEDIF(J274, TODAY(), "m")</f>
        <v>21</v>
      </c>
      <c r="M274" s="25"/>
      <c r="Q274" s="12">
        <v>104</v>
      </c>
      <c r="R274" s="21" t="s">
        <v>89</v>
      </c>
      <c r="S274" s="21" t="s">
        <v>88</v>
      </c>
    </row>
    <row r="275" spans="1:22" ht="15.75" customHeight="1" x14ac:dyDescent="0.25">
      <c r="A275" s="33" t="s">
        <v>789</v>
      </c>
      <c r="B275" s="34">
        <v>1033</v>
      </c>
      <c r="C275" s="22" t="s">
        <v>81</v>
      </c>
      <c r="D275" s="23" t="s">
        <v>558</v>
      </c>
      <c r="E275" s="28" t="s">
        <v>790</v>
      </c>
      <c r="F275" s="21">
        <v>2025</v>
      </c>
      <c r="G275" s="21" t="s">
        <v>30</v>
      </c>
      <c r="H275" s="21">
        <v>567</v>
      </c>
      <c r="I275" s="24" t="s">
        <v>171</v>
      </c>
      <c r="J275" s="25">
        <v>45473</v>
      </c>
      <c r="K275" s="25">
        <v>47299</v>
      </c>
      <c r="L275" s="13">
        <f ca="1">DATEDIF(J275, TODAY(), "m")</f>
        <v>21</v>
      </c>
      <c r="M275" s="25"/>
      <c r="Q275" s="12">
        <v>104</v>
      </c>
      <c r="R275" s="21" t="s">
        <v>89</v>
      </c>
      <c r="S275" s="21" t="s">
        <v>88</v>
      </c>
    </row>
    <row r="276" spans="1:22" ht="15.75" customHeight="1" x14ac:dyDescent="0.25">
      <c r="A276" s="27" t="s">
        <v>791</v>
      </c>
      <c r="B276" s="21">
        <v>1035</v>
      </c>
      <c r="C276" s="22" t="s">
        <v>81</v>
      </c>
      <c r="D276" s="23" t="s">
        <v>558</v>
      </c>
      <c r="E276" s="28" t="s">
        <v>792</v>
      </c>
      <c r="F276" s="21">
        <v>2025</v>
      </c>
      <c r="G276" s="21" t="s">
        <v>30</v>
      </c>
      <c r="H276" s="21">
        <v>567</v>
      </c>
      <c r="I276" s="24" t="s">
        <v>171</v>
      </c>
      <c r="J276" s="25">
        <v>45473</v>
      </c>
      <c r="K276" s="25">
        <v>47664</v>
      </c>
      <c r="L276" s="13">
        <f ca="1">DATEDIF(J276, TODAY(), "m")</f>
        <v>21</v>
      </c>
      <c r="M276" s="25"/>
      <c r="Q276" s="12">
        <v>104</v>
      </c>
      <c r="R276" s="21" t="s">
        <v>89</v>
      </c>
      <c r="S276" s="21" t="s">
        <v>88</v>
      </c>
    </row>
    <row r="277" spans="1:22" ht="15.75" customHeight="1" x14ac:dyDescent="0.25">
      <c r="A277" s="27" t="s">
        <v>793</v>
      </c>
      <c r="B277" s="21">
        <v>1036</v>
      </c>
      <c r="C277" s="22" t="s">
        <v>81</v>
      </c>
      <c r="D277" s="23" t="s">
        <v>558</v>
      </c>
      <c r="E277" s="28" t="s">
        <v>794</v>
      </c>
      <c r="F277" s="21">
        <v>2025</v>
      </c>
      <c r="G277" s="21" t="s">
        <v>30</v>
      </c>
      <c r="H277" s="21">
        <v>567</v>
      </c>
      <c r="I277" s="24" t="s">
        <v>171</v>
      </c>
      <c r="J277" s="25">
        <v>45473</v>
      </c>
      <c r="K277" s="25">
        <v>47664</v>
      </c>
      <c r="L277" s="13">
        <f ca="1">DATEDIF(J277, TODAY(), "m")</f>
        <v>21</v>
      </c>
      <c r="M277" s="25"/>
      <c r="Q277" s="12">
        <v>104</v>
      </c>
      <c r="R277" s="21" t="s">
        <v>89</v>
      </c>
      <c r="S277" s="21" t="s">
        <v>88</v>
      </c>
    </row>
    <row r="278" spans="1:22" ht="15.75" customHeight="1" x14ac:dyDescent="0.25">
      <c r="A278" s="27" t="s">
        <v>795</v>
      </c>
      <c r="B278" s="21">
        <v>1037</v>
      </c>
      <c r="C278" s="22" t="s">
        <v>81</v>
      </c>
      <c r="D278" s="23" t="s">
        <v>558</v>
      </c>
      <c r="E278" s="28" t="s">
        <v>796</v>
      </c>
      <c r="F278" s="21">
        <v>2025</v>
      </c>
      <c r="G278" s="21" t="s">
        <v>30</v>
      </c>
      <c r="H278" s="21">
        <v>567</v>
      </c>
      <c r="I278" s="24" t="s">
        <v>171</v>
      </c>
      <c r="J278" s="25">
        <v>45473</v>
      </c>
      <c r="K278" s="25">
        <v>47664</v>
      </c>
      <c r="L278" s="13">
        <f ca="1">DATEDIF(J278, TODAY(), "m")</f>
        <v>21</v>
      </c>
      <c r="M278" s="25"/>
      <c r="O278" s="28"/>
      <c r="Q278" s="12">
        <v>104</v>
      </c>
      <c r="R278" s="21" t="s">
        <v>89</v>
      </c>
      <c r="S278" s="21" t="s">
        <v>88</v>
      </c>
    </row>
    <row r="279" spans="1:22" ht="15.75" customHeight="1" x14ac:dyDescent="0.25">
      <c r="A279" s="27" t="s">
        <v>797</v>
      </c>
      <c r="B279" s="21">
        <v>1034</v>
      </c>
      <c r="C279" s="22" t="s">
        <v>81</v>
      </c>
      <c r="D279" s="23" t="s">
        <v>558</v>
      </c>
      <c r="E279" s="28" t="s">
        <v>798</v>
      </c>
      <c r="F279" s="21">
        <v>2025</v>
      </c>
      <c r="G279" s="21" t="s">
        <v>30</v>
      </c>
      <c r="H279" s="21">
        <v>567</v>
      </c>
      <c r="I279" s="24" t="s">
        <v>171</v>
      </c>
      <c r="J279" s="25">
        <v>45473</v>
      </c>
      <c r="K279" s="25">
        <v>47299</v>
      </c>
      <c r="L279" s="13">
        <f ca="1">DATEDIF(J279, TODAY(), "m")</f>
        <v>21</v>
      </c>
      <c r="M279" s="25"/>
      <c r="Q279" s="12">
        <v>104</v>
      </c>
      <c r="R279" s="21" t="s">
        <v>89</v>
      </c>
      <c r="S279" s="21" t="s">
        <v>88</v>
      </c>
    </row>
    <row r="280" spans="1:22" ht="15.75" customHeight="1" x14ac:dyDescent="0.25">
      <c r="A280" s="21" t="s">
        <v>799</v>
      </c>
      <c r="C280" s="61" t="s">
        <v>283</v>
      </c>
      <c r="D280" s="23" t="s">
        <v>570</v>
      </c>
      <c r="E280" s="28" t="s">
        <v>800</v>
      </c>
      <c r="F280" s="21">
        <v>2025</v>
      </c>
      <c r="G280" s="21" t="s">
        <v>30</v>
      </c>
      <c r="H280" s="21">
        <v>579</v>
      </c>
      <c r="I280" s="24" t="s">
        <v>171</v>
      </c>
      <c r="J280" s="25">
        <v>45535</v>
      </c>
      <c r="K280" s="25">
        <v>47726</v>
      </c>
      <c r="L280" s="13">
        <f ca="1">DATEDIF(J280, TODAY(), "m")</f>
        <v>19</v>
      </c>
      <c r="M280" s="25"/>
      <c r="Q280" s="12">
        <v>104</v>
      </c>
    </row>
    <row r="281" spans="1:22" ht="15.75" customHeight="1" x14ac:dyDescent="0.25">
      <c r="A281" s="21" t="s">
        <v>801</v>
      </c>
      <c r="C281" s="22" t="s">
        <v>283</v>
      </c>
      <c r="D281" s="23" t="s">
        <v>570</v>
      </c>
      <c r="E281" s="27" t="s">
        <v>802</v>
      </c>
      <c r="F281" s="21">
        <v>2025</v>
      </c>
      <c r="G281" s="21" t="s">
        <v>30</v>
      </c>
      <c r="H281" s="21">
        <v>579</v>
      </c>
      <c r="I281" s="24" t="s">
        <v>109</v>
      </c>
      <c r="J281" s="25">
        <v>45596</v>
      </c>
      <c r="K281" s="25">
        <v>47787</v>
      </c>
      <c r="L281" s="13">
        <f ca="1">DATEDIF(J281, TODAY(), "m")</f>
        <v>17</v>
      </c>
      <c r="M281" s="25"/>
      <c r="Q281" s="12">
        <v>104</v>
      </c>
    </row>
    <row r="282" spans="1:22" ht="15.75" customHeight="1" x14ac:dyDescent="0.25">
      <c r="A282" s="20" t="s">
        <v>803</v>
      </c>
      <c r="B282" s="21">
        <v>49</v>
      </c>
      <c r="C282" s="22" t="s">
        <v>283</v>
      </c>
      <c r="D282" s="26" t="s">
        <v>485</v>
      </c>
      <c r="E282" s="27" t="s">
        <v>804</v>
      </c>
      <c r="F282" s="20">
        <v>2024</v>
      </c>
      <c r="G282" s="20" t="s">
        <v>30</v>
      </c>
      <c r="H282" s="20">
        <v>567</v>
      </c>
      <c r="I282" s="24" t="s">
        <v>695</v>
      </c>
      <c r="J282" s="21" t="s">
        <v>488</v>
      </c>
      <c r="K282" s="21" t="s">
        <v>488</v>
      </c>
      <c r="L282" s="13" t="e">
        <f ca="1">DATEDIF(J282, TODAY(), "m")</f>
        <v>#VALUE!</v>
      </c>
      <c r="N282" s="20"/>
      <c r="Q282" s="12">
        <v>104</v>
      </c>
      <c r="R282" s="21" t="s">
        <v>88</v>
      </c>
      <c r="V282" s="22" t="s">
        <v>568</v>
      </c>
    </row>
    <row r="283" spans="1:22" ht="15.75" customHeight="1" x14ac:dyDescent="0.25">
      <c r="A283" s="21" t="s">
        <v>805</v>
      </c>
      <c r="B283" s="21">
        <v>155</v>
      </c>
      <c r="C283" s="22" t="s">
        <v>283</v>
      </c>
      <c r="D283" s="23" t="s">
        <v>806</v>
      </c>
      <c r="E283" s="27" t="s">
        <v>807</v>
      </c>
      <c r="F283" s="21">
        <v>2025</v>
      </c>
      <c r="G283" s="21" t="s">
        <v>30</v>
      </c>
      <c r="H283" s="21">
        <v>567</v>
      </c>
      <c r="I283" s="24" t="s">
        <v>32</v>
      </c>
      <c r="J283" s="25"/>
      <c r="K283" s="25"/>
      <c r="L283" s="13">
        <f ca="1">DATEDIF(J283, TODAY(), "m")</f>
        <v>1515</v>
      </c>
      <c r="M283" s="25"/>
      <c r="P283" s="27"/>
      <c r="Q283" s="12">
        <v>104</v>
      </c>
      <c r="V283" s="22" t="s">
        <v>568</v>
      </c>
    </row>
    <row r="284" spans="1:22" ht="15.75" customHeight="1" x14ac:dyDescent="0.25">
      <c r="A284" s="21" t="s">
        <v>808</v>
      </c>
      <c r="B284" s="21">
        <v>156</v>
      </c>
      <c r="C284" s="22" t="s">
        <v>283</v>
      </c>
      <c r="D284" s="23" t="s">
        <v>806</v>
      </c>
      <c r="E284" s="27" t="s">
        <v>809</v>
      </c>
      <c r="F284" s="21">
        <v>2025</v>
      </c>
      <c r="G284" s="21" t="s">
        <v>30</v>
      </c>
      <c r="H284" s="21">
        <v>567</v>
      </c>
      <c r="I284" s="24" t="s">
        <v>32</v>
      </c>
      <c r="J284" s="25"/>
      <c r="K284" s="25"/>
      <c r="L284" s="13">
        <f ca="1">DATEDIF(J284, TODAY(), "m")</f>
        <v>1515</v>
      </c>
      <c r="M284" s="25"/>
      <c r="P284" s="27"/>
      <c r="Q284" s="12">
        <v>104</v>
      </c>
    </row>
    <row r="285" spans="1:22" ht="15.75" customHeight="1" x14ac:dyDescent="0.25">
      <c r="A285" s="15" t="s">
        <v>810</v>
      </c>
      <c r="B285" s="15">
        <v>160</v>
      </c>
      <c r="C285" s="22" t="s">
        <v>283</v>
      </c>
      <c r="D285" s="17" t="s">
        <v>806</v>
      </c>
      <c r="E285" s="18" t="s">
        <v>811</v>
      </c>
      <c r="F285" s="15">
        <v>2025</v>
      </c>
      <c r="G285" s="15" t="s">
        <v>30</v>
      </c>
      <c r="H285" s="15">
        <v>567</v>
      </c>
      <c r="I285" s="15" t="s">
        <v>32</v>
      </c>
      <c r="J285" s="29"/>
      <c r="K285" s="29"/>
      <c r="L285" s="13">
        <f ca="1">DATEDIF(J285, TODAY(), "m")</f>
        <v>1515</v>
      </c>
      <c r="M285" s="29"/>
      <c r="N285" s="15"/>
      <c r="O285" s="15"/>
      <c r="P285" s="18"/>
      <c r="Q285" s="12">
        <v>104</v>
      </c>
      <c r="R285" s="15"/>
      <c r="S285" s="15"/>
      <c r="T285" s="15"/>
      <c r="U285" s="15"/>
      <c r="V285" s="16" t="s">
        <v>812</v>
      </c>
    </row>
    <row r="286" spans="1:22" ht="15.75" customHeight="1" x14ac:dyDescent="0.25">
      <c r="A286" s="21" t="s">
        <v>813</v>
      </c>
      <c r="B286" s="21">
        <v>161</v>
      </c>
      <c r="C286" s="22" t="s">
        <v>283</v>
      </c>
      <c r="D286" s="23" t="s">
        <v>806</v>
      </c>
      <c r="E286" s="27" t="s">
        <v>814</v>
      </c>
      <c r="F286" s="21">
        <v>2025</v>
      </c>
      <c r="G286" s="21" t="s">
        <v>30</v>
      </c>
      <c r="H286" s="21">
        <v>567</v>
      </c>
      <c r="I286" s="24" t="s">
        <v>32</v>
      </c>
      <c r="J286" s="25"/>
      <c r="K286" s="25"/>
      <c r="L286" s="13">
        <f ca="1">DATEDIF(J286, TODAY(), "m")</f>
        <v>1515</v>
      </c>
      <c r="M286" s="25"/>
      <c r="P286" s="27"/>
      <c r="Q286" s="12">
        <v>104</v>
      </c>
    </row>
    <row r="287" spans="1:22" ht="15.75" customHeight="1" x14ac:dyDescent="0.25">
      <c r="A287" s="20" t="s">
        <v>815</v>
      </c>
      <c r="C287" s="22" t="s">
        <v>283</v>
      </c>
      <c r="D287" s="26" t="s">
        <v>767</v>
      </c>
      <c r="E287" s="27" t="s">
        <v>816</v>
      </c>
      <c r="F287" s="20">
        <v>2025</v>
      </c>
      <c r="G287" s="20" t="s">
        <v>30</v>
      </c>
      <c r="H287" s="20">
        <v>548</v>
      </c>
      <c r="I287" s="24" t="s">
        <v>817</v>
      </c>
      <c r="J287" s="25">
        <v>45596</v>
      </c>
      <c r="K287" s="25">
        <v>47422</v>
      </c>
      <c r="L287" s="13">
        <f ca="1">DATEDIF(J287, TODAY(), "m")</f>
        <v>17</v>
      </c>
      <c r="M287" s="25"/>
      <c r="N287" s="20"/>
      <c r="Q287" s="12">
        <v>104</v>
      </c>
      <c r="R287" s="21" t="s">
        <v>595</v>
      </c>
    </row>
    <row r="288" spans="1:22" ht="15.75" customHeight="1" x14ac:dyDescent="0.25">
      <c r="A288" s="20" t="s">
        <v>818</v>
      </c>
      <c r="C288" s="22" t="s">
        <v>283</v>
      </c>
      <c r="D288" s="26" t="s">
        <v>549</v>
      </c>
      <c r="E288" s="28" t="s">
        <v>819</v>
      </c>
      <c r="F288" s="20">
        <v>2025</v>
      </c>
      <c r="G288" s="20" t="s">
        <v>26</v>
      </c>
      <c r="H288" s="20">
        <v>579</v>
      </c>
      <c r="I288" s="24" t="s">
        <v>502</v>
      </c>
      <c r="J288" s="25">
        <v>45641</v>
      </c>
      <c r="K288" s="25">
        <v>48197</v>
      </c>
      <c r="L288" s="13">
        <f ca="1">DATEDIF(J288, TODAY(), "m")</f>
        <v>15</v>
      </c>
      <c r="M288" s="25"/>
      <c r="N288" s="20" t="s">
        <v>551</v>
      </c>
      <c r="Q288" s="12">
        <v>104</v>
      </c>
    </row>
    <row r="289" spans="1:22" ht="15.75" customHeight="1" x14ac:dyDescent="0.25">
      <c r="A289" s="20" t="s">
        <v>820</v>
      </c>
      <c r="C289" s="22" t="s">
        <v>283</v>
      </c>
      <c r="D289" s="26" t="s">
        <v>593</v>
      </c>
      <c r="E289" s="28" t="s">
        <v>821</v>
      </c>
      <c r="F289" s="20">
        <v>2025</v>
      </c>
      <c r="G289" s="20" t="s">
        <v>30</v>
      </c>
      <c r="H289" s="20">
        <v>567</v>
      </c>
      <c r="I289" s="24" t="s">
        <v>109</v>
      </c>
      <c r="J289" s="25">
        <v>45627</v>
      </c>
      <c r="K289" s="25">
        <v>47515</v>
      </c>
      <c r="L289" s="13">
        <f ca="1">DATEDIF(J289, TODAY(), "m")</f>
        <v>16</v>
      </c>
      <c r="M289" s="25"/>
      <c r="N289" s="20"/>
      <c r="Q289" s="12">
        <v>104</v>
      </c>
      <c r="R289" s="21" t="s">
        <v>595</v>
      </c>
    </row>
    <row r="290" spans="1:22" ht="15.75" customHeight="1" x14ac:dyDescent="0.25">
      <c r="A290" s="20" t="s">
        <v>822</v>
      </c>
      <c r="C290" s="22" t="s">
        <v>283</v>
      </c>
      <c r="D290" s="26" t="s">
        <v>593</v>
      </c>
      <c r="E290" s="28" t="s">
        <v>823</v>
      </c>
      <c r="F290" s="20">
        <v>2025</v>
      </c>
      <c r="G290" s="20" t="s">
        <v>30</v>
      </c>
      <c r="H290" s="20">
        <v>567</v>
      </c>
      <c r="I290" s="24" t="s">
        <v>109</v>
      </c>
      <c r="J290" s="25">
        <v>45627</v>
      </c>
      <c r="K290" s="25">
        <v>47515</v>
      </c>
      <c r="L290" s="13">
        <f ca="1">DATEDIF(J290, TODAY(), "m")</f>
        <v>16</v>
      </c>
      <c r="M290" s="25"/>
      <c r="N290" s="20"/>
      <c r="Q290" s="12">
        <v>104</v>
      </c>
      <c r="R290" s="21" t="s">
        <v>595</v>
      </c>
    </row>
    <row r="291" spans="1:22" ht="15.75" customHeight="1" x14ac:dyDescent="0.25">
      <c r="A291" s="21" t="s">
        <v>824</v>
      </c>
      <c r="B291" s="21" t="s">
        <v>825</v>
      </c>
      <c r="C291" s="22" t="s">
        <v>283</v>
      </c>
      <c r="D291" s="23" t="s">
        <v>510</v>
      </c>
      <c r="E291" s="28" t="s">
        <v>826</v>
      </c>
      <c r="F291" s="21">
        <v>2025</v>
      </c>
      <c r="G291" s="21" t="s">
        <v>30</v>
      </c>
      <c r="H291" s="21">
        <v>536</v>
      </c>
      <c r="I291" s="24" t="s">
        <v>827</v>
      </c>
      <c r="J291" s="25">
        <v>45626</v>
      </c>
      <c r="K291" s="25">
        <v>48182</v>
      </c>
      <c r="L291" s="13">
        <f ca="1">DATEDIF(J291, TODAY(), "m")</f>
        <v>16</v>
      </c>
      <c r="M291" s="25"/>
      <c r="Q291" s="12">
        <v>104</v>
      </c>
      <c r="R291" s="21" t="s">
        <v>89</v>
      </c>
    </row>
    <row r="292" spans="1:22" ht="15.75" customHeight="1" x14ac:dyDescent="0.25">
      <c r="A292" s="27" t="s">
        <v>828</v>
      </c>
      <c r="C292" s="22" t="s">
        <v>283</v>
      </c>
      <c r="D292" s="23" t="s">
        <v>514</v>
      </c>
      <c r="E292" s="28" t="s">
        <v>829</v>
      </c>
      <c r="F292" s="21">
        <v>2025</v>
      </c>
      <c r="G292" s="21" t="s">
        <v>30</v>
      </c>
      <c r="H292" s="21">
        <v>567</v>
      </c>
      <c r="I292" s="24" t="s">
        <v>109</v>
      </c>
      <c r="J292" s="65">
        <v>45716</v>
      </c>
      <c r="K292" s="65">
        <v>48272</v>
      </c>
      <c r="L292" s="13">
        <f ca="1">DATEDIF(J292, TODAY(), "m")</f>
        <v>13</v>
      </c>
      <c r="M292" s="65"/>
      <c r="N292" s="20" t="s">
        <v>516</v>
      </c>
      <c r="O292" s="21" t="s">
        <v>517</v>
      </c>
      <c r="P292" s="27"/>
      <c r="Q292" s="12">
        <v>104</v>
      </c>
    </row>
    <row r="293" spans="1:22" ht="15.75" customHeight="1" x14ac:dyDescent="0.25">
      <c r="A293" s="20" t="s">
        <v>830</v>
      </c>
      <c r="C293" s="9" t="s">
        <v>23</v>
      </c>
      <c r="D293" s="26" t="s">
        <v>24</v>
      </c>
      <c r="E293" s="28" t="s">
        <v>831</v>
      </c>
      <c r="F293" s="20">
        <v>2025</v>
      </c>
      <c r="G293" s="20" t="s">
        <v>30</v>
      </c>
      <c r="H293" s="20">
        <v>567</v>
      </c>
      <c r="I293" s="24" t="s">
        <v>109</v>
      </c>
      <c r="J293" s="25">
        <v>45657</v>
      </c>
      <c r="K293" s="25">
        <v>48304</v>
      </c>
      <c r="L293" s="13">
        <f ca="1">DATEDIF(J293, TODAY(), "m")</f>
        <v>15</v>
      </c>
      <c r="M293" s="25"/>
      <c r="N293" s="20" t="s">
        <v>516</v>
      </c>
      <c r="Q293" s="12">
        <v>104</v>
      </c>
    </row>
    <row r="294" spans="1:22" ht="15.75" customHeight="1" x14ac:dyDescent="0.25">
      <c r="A294" s="20" t="s">
        <v>832</v>
      </c>
      <c r="C294" s="9" t="s">
        <v>23</v>
      </c>
      <c r="D294" s="26" t="s">
        <v>24</v>
      </c>
      <c r="E294" s="28" t="s">
        <v>833</v>
      </c>
      <c r="F294" s="20">
        <v>2025</v>
      </c>
      <c r="G294" s="20" t="s">
        <v>30</v>
      </c>
      <c r="H294" s="20">
        <v>567</v>
      </c>
      <c r="I294" s="24" t="s">
        <v>109</v>
      </c>
      <c r="J294" s="25">
        <v>45657</v>
      </c>
      <c r="K294" s="25">
        <v>48304</v>
      </c>
      <c r="L294" s="13">
        <f ca="1">DATEDIF(J294, TODAY(), "m")</f>
        <v>15</v>
      </c>
      <c r="M294" s="25"/>
      <c r="N294" s="20" t="s">
        <v>516</v>
      </c>
      <c r="Q294" s="12">
        <v>104</v>
      </c>
    </row>
    <row r="295" spans="1:22" ht="15.75" customHeight="1" x14ac:dyDescent="0.25">
      <c r="A295" s="20" t="s">
        <v>834</v>
      </c>
      <c r="C295" s="9" t="s">
        <v>23</v>
      </c>
      <c r="D295" s="26" t="s">
        <v>24</v>
      </c>
      <c r="E295" s="28" t="s">
        <v>835</v>
      </c>
      <c r="F295" s="20">
        <v>2025</v>
      </c>
      <c r="G295" s="20" t="s">
        <v>30</v>
      </c>
      <c r="H295" s="20">
        <v>567</v>
      </c>
      <c r="I295" s="24" t="s">
        <v>109</v>
      </c>
      <c r="J295" s="25">
        <v>45657</v>
      </c>
      <c r="K295" s="25">
        <v>48304</v>
      </c>
      <c r="L295" s="13">
        <f ca="1">DATEDIF(J295, TODAY(), "m")</f>
        <v>15</v>
      </c>
      <c r="M295" s="25"/>
      <c r="N295" s="20" t="s">
        <v>516</v>
      </c>
      <c r="Q295" s="12">
        <v>104</v>
      </c>
    </row>
    <row r="296" spans="1:22" ht="15.75" customHeight="1" x14ac:dyDescent="0.25">
      <c r="A296" s="20" t="s">
        <v>836</v>
      </c>
      <c r="C296" s="22" t="s">
        <v>81</v>
      </c>
      <c r="D296" s="26" t="s">
        <v>837</v>
      </c>
      <c r="E296" s="28" t="s">
        <v>838</v>
      </c>
      <c r="F296" s="20">
        <v>2025</v>
      </c>
      <c r="G296" s="20" t="s">
        <v>30</v>
      </c>
      <c r="H296" s="20">
        <v>567</v>
      </c>
      <c r="I296" s="24" t="s">
        <v>109</v>
      </c>
      <c r="J296" s="25">
        <v>45657</v>
      </c>
      <c r="K296" s="25">
        <v>48304</v>
      </c>
      <c r="L296" s="13">
        <f ca="1">DATEDIF(J296, TODAY(), "m")</f>
        <v>15</v>
      </c>
      <c r="M296" s="25"/>
      <c r="N296" s="20" t="s">
        <v>516</v>
      </c>
      <c r="Q296" s="12">
        <v>104</v>
      </c>
      <c r="V296" s="22" t="s">
        <v>839</v>
      </c>
    </row>
    <row r="297" spans="1:22" ht="15.75" customHeight="1" x14ac:dyDescent="0.25">
      <c r="A297" s="21" t="s">
        <v>840</v>
      </c>
      <c r="C297" s="22" t="s">
        <v>283</v>
      </c>
      <c r="D297" s="23" t="s">
        <v>841</v>
      </c>
      <c r="E297" s="21" t="s">
        <v>842</v>
      </c>
      <c r="F297" s="21">
        <v>2025</v>
      </c>
      <c r="G297" s="21" t="s">
        <v>30</v>
      </c>
      <c r="H297" s="21">
        <v>536</v>
      </c>
      <c r="I297" s="24" t="s">
        <v>502</v>
      </c>
      <c r="J297" s="25">
        <v>44866</v>
      </c>
      <c r="K297" s="25">
        <v>46692</v>
      </c>
      <c r="L297" s="13">
        <f ca="1">DATEDIF(J297, TODAY(), "m")</f>
        <v>41</v>
      </c>
      <c r="M297" s="25"/>
      <c r="Q297" s="12">
        <v>104</v>
      </c>
    </row>
    <row r="298" spans="1:22" ht="15.75" customHeight="1" x14ac:dyDescent="0.25">
      <c r="A298" s="27" t="s">
        <v>843</v>
      </c>
      <c r="B298" s="21">
        <v>1039</v>
      </c>
      <c r="C298" s="22" t="s">
        <v>81</v>
      </c>
      <c r="D298" s="23" t="s">
        <v>558</v>
      </c>
      <c r="E298" s="28" t="s">
        <v>844</v>
      </c>
      <c r="F298" s="21">
        <v>2025</v>
      </c>
      <c r="G298" s="21" t="s">
        <v>30</v>
      </c>
      <c r="H298" s="21">
        <v>567</v>
      </c>
      <c r="I298" s="24" t="s">
        <v>171</v>
      </c>
      <c r="J298" s="25">
        <v>45688</v>
      </c>
      <c r="K298" s="25">
        <v>47879</v>
      </c>
      <c r="L298" s="13">
        <f ca="1">DATEDIF(J298, TODAY(), "m")</f>
        <v>14</v>
      </c>
      <c r="M298" s="25"/>
      <c r="N298" s="21" t="s">
        <v>845</v>
      </c>
      <c r="Q298" s="12">
        <v>104</v>
      </c>
      <c r="R298" s="21" t="s">
        <v>89</v>
      </c>
      <c r="S298" s="21" t="s">
        <v>88</v>
      </c>
    </row>
    <row r="299" spans="1:22" ht="15.75" customHeight="1" x14ac:dyDescent="0.25">
      <c r="A299" s="27" t="s">
        <v>846</v>
      </c>
      <c r="B299" s="21">
        <v>1038</v>
      </c>
      <c r="C299" s="22" t="s">
        <v>81</v>
      </c>
      <c r="D299" s="23" t="s">
        <v>558</v>
      </c>
      <c r="E299" s="28" t="s">
        <v>847</v>
      </c>
      <c r="F299" s="21">
        <v>2025</v>
      </c>
      <c r="G299" s="21" t="s">
        <v>30</v>
      </c>
      <c r="H299" s="21">
        <v>567</v>
      </c>
      <c r="I299" s="24" t="s">
        <v>171</v>
      </c>
      <c r="J299" s="25">
        <v>45688</v>
      </c>
      <c r="K299" s="25">
        <v>47879</v>
      </c>
      <c r="L299" s="13">
        <f ca="1">DATEDIF(J299, TODAY(), "m")</f>
        <v>14</v>
      </c>
      <c r="M299" s="25"/>
      <c r="N299" s="21" t="s">
        <v>848</v>
      </c>
      <c r="Q299" s="12">
        <v>104</v>
      </c>
      <c r="R299" s="21" t="s">
        <v>89</v>
      </c>
      <c r="S299" s="21" t="s">
        <v>88</v>
      </c>
    </row>
    <row r="300" spans="1:22" ht="15.75" customHeight="1" x14ac:dyDescent="0.25">
      <c r="A300" s="20" t="s">
        <v>849</v>
      </c>
      <c r="C300" s="9" t="s">
        <v>23</v>
      </c>
      <c r="D300" s="26" t="s">
        <v>24</v>
      </c>
      <c r="E300" s="28" t="s">
        <v>850</v>
      </c>
      <c r="F300" s="20">
        <v>2025</v>
      </c>
      <c r="G300" s="20" t="s">
        <v>30</v>
      </c>
      <c r="H300" s="20">
        <v>567</v>
      </c>
      <c r="I300" s="24" t="s">
        <v>171</v>
      </c>
      <c r="J300" s="25">
        <v>45657</v>
      </c>
      <c r="K300" s="25">
        <v>48304</v>
      </c>
      <c r="L300" s="13">
        <f ca="1">DATEDIF(J300, TODAY(), "m")</f>
        <v>15</v>
      </c>
      <c r="M300" s="25"/>
      <c r="N300" s="20" t="s">
        <v>851</v>
      </c>
      <c r="Q300" s="12">
        <v>104</v>
      </c>
    </row>
    <row r="301" spans="1:22" ht="15.75" customHeight="1" x14ac:dyDescent="0.25">
      <c r="A301" s="20" t="s">
        <v>852</v>
      </c>
      <c r="B301" s="21">
        <v>51</v>
      </c>
      <c r="C301" s="22" t="s">
        <v>283</v>
      </c>
      <c r="D301" s="26" t="s">
        <v>485</v>
      </c>
      <c r="E301" s="27" t="s">
        <v>853</v>
      </c>
      <c r="F301" s="20">
        <v>2025</v>
      </c>
      <c r="G301" s="20" t="s">
        <v>30</v>
      </c>
      <c r="H301" s="20">
        <v>548</v>
      </c>
      <c r="I301" s="24" t="s">
        <v>101</v>
      </c>
      <c r="J301" s="21" t="s">
        <v>488</v>
      </c>
      <c r="K301" s="21" t="s">
        <v>488</v>
      </c>
      <c r="L301" s="13" t="e">
        <f ca="1">DATEDIF(J301, TODAY(), "m")</f>
        <v>#VALUE!</v>
      </c>
      <c r="N301" s="20"/>
      <c r="Q301" s="12">
        <v>104</v>
      </c>
      <c r="R301" s="21" t="s">
        <v>88</v>
      </c>
      <c r="V301" s="22" t="s">
        <v>568</v>
      </c>
    </row>
    <row r="302" spans="1:22" ht="15.75" customHeight="1" x14ac:dyDescent="0.25">
      <c r="A302" s="27" t="s">
        <v>854</v>
      </c>
      <c r="B302" s="21">
        <v>1040</v>
      </c>
      <c r="C302" s="22" t="s">
        <v>81</v>
      </c>
      <c r="D302" s="23" t="s">
        <v>558</v>
      </c>
      <c r="E302" s="28" t="s">
        <v>855</v>
      </c>
      <c r="F302" s="21">
        <v>2025</v>
      </c>
      <c r="G302" s="21" t="s">
        <v>30</v>
      </c>
      <c r="H302" s="21">
        <v>567</v>
      </c>
      <c r="I302" s="24" t="s">
        <v>171</v>
      </c>
      <c r="J302" s="25">
        <v>45681</v>
      </c>
      <c r="K302" s="25">
        <v>47872</v>
      </c>
      <c r="L302" s="13">
        <f ca="1">DATEDIF(J302, TODAY(), "m")</f>
        <v>14</v>
      </c>
      <c r="M302" s="25"/>
      <c r="N302" s="21" t="s">
        <v>856</v>
      </c>
      <c r="Q302" s="12">
        <v>104</v>
      </c>
      <c r="R302" s="21" t="s">
        <v>89</v>
      </c>
      <c r="S302" s="21" t="s">
        <v>88</v>
      </c>
      <c r="V302" s="22" t="s">
        <v>568</v>
      </c>
    </row>
    <row r="303" spans="1:22" ht="15.75" customHeight="1" x14ac:dyDescent="0.25">
      <c r="A303" s="21" t="s">
        <v>857</v>
      </c>
      <c r="C303" s="22" t="s">
        <v>283</v>
      </c>
      <c r="D303" s="26" t="s">
        <v>858</v>
      </c>
      <c r="E303" s="28" t="s">
        <v>859</v>
      </c>
      <c r="F303" s="21">
        <v>2025</v>
      </c>
      <c r="G303" s="21" t="s">
        <v>30</v>
      </c>
      <c r="H303" s="21">
        <v>536</v>
      </c>
      <c r="I303" s="24" t="s">
        <v>860</v>
      </c>
      <c r="L303" s="13">
        <f ca="1">DATEDIF(J303, TODAY(), "m")</f>
        <v>1515</v>
      </c>
      <c r="N303" s="21" t="s">
        <v>861</v>
      </c>
      <c r="Q303" s="12">
        <v>104</v>
      </c>
      <c r="R303" s="21" t="s">
        <v>89</v>
      </c>
    </row>
    <row r="304" spans="1:22" ht="15.75" customHeight="1" x14ac:dyDescent="0.25">
      <c r="A304" s="21" t="s">
        <v>862</v>
      </c>
      <c r="B304" s="21" t="s">
        <v>863</v>
      </c>
      <c r="C304" s="22" t="s">
        <v>283</v>
      </c>
      <c r="D304" s="23" t="s">
        <v>510</v>
      </c>
      <c r="E304" s="28" t="s">
        <v>864</v>
      </c>
      <c r="F304" s="21">
        <v>2026</v>
      </c>
      <c r="G304" s="21" t="s">
        <v>30</v>
      </c>
      <c r="H304" s="21">
        <v>536</v>
      </c>
      <c r="I304" s="24" t="s">
        <v>860</v>
      </c>
      <c r="L304" s="13">
        <f ca="1">DATEDIF(J304, TODAY(), "m")</f>
        <v>1515</v>
      </c>
      <c r="P304" s="21" t="s">
        <v>865</v>
      </c>
      <c r="Q304" s="12">
        <v>104</v>
      </c>
      <c r="R304" s="21" t="s">
        <v>89</v>
      </c>
    </row>
    <row r="305" spans="1:22" ht="15.75" customHeight="1" x14ac:dyDescent="0.25">
      <c r="A305" s="20" t="s">
        <v>866</v>
      </c>
      <c r="C305" s="9" t="s">
        <v>23</v>
      </c>
      <c r="D305" s="26" t="s">
        <v>24</v>
      </c>
      <c r="E305" s="28" t="s">
        <v>867</v>
      </c>
      <c r="F305" s="20">
        <v>2026</v>
      </c>
      <c r="G305" s="20" t="s">
        <v>30</v>
      </c>
      <c r="H305" s="20">
        <v>567</v>
      </c>
      <c r="I305" s="24" t="s">
        <v>109</v>
      </c>
      <c r="J305" s="25"/>
      <c r="K305" s="25"/>
      <c r="L305" s="13">
        <f ca="1">DATEDIF(J305, TODAY(), "m")</f>
        <v>1515</v>
      </c>
      <c r="M305" s="25"/>
      <c r="N305" s="20" t="s">
        <v>856</v>
      </c>
      <c r="Q305" s="12">
        <v>104</v>
      </c>
    </row>
    <row r="306" spans="1:22" ht="15.75" customHeight="1" x14ac:dyDescent="0.25">
      <c r="A306" s="20" t="s">
        <v>868</v>
      </c>
      <c r="C306" s="9" t="s">
        <v>23</v>
      </c>
      <c r="D306" s="26" t="s">
        <v>24</v>
      </c>
      <c r="E306" s="28" t="s">
        <v>869</v>
      </c>
      <c r="F306" s="20">
        <v>2026</v>
      </c>
      <c r="G306" s="20" t="s">
        <v>30</v>
      </c>
      <c r="H306" s="20">
        <v>567</v>
      </c>
      <c r="I306" s="24" t="s">
        <v>109</v>
      </c>
      <c r="J306" s="25"/>
      <c r="K306" s="25"/>
      <c r="L306" s="13">
        <f ca="1">DATEDIF(J306, TODAY(), "m")</f>
        <v>1515</v>
      </c>
      <c r="M306" s="25"/>
      <c r="N306" s="20" t="s">
        <v>856</v>
      </c>
      <c r="Q306" s="12">
        <v>104</v>
      </c>
    </row>
    <row r="307" spans="1:22" ht="15.75" customHeight="1" x14ac:dyDescent="0.25">
      <c r="A307" s="27" t="s">
        <v>870</v>
      </c>
      <c r="B307" s="21">
        <v>1041</v>
      </c>
      <c r="C307" s="22" t="s">
        <v>81</v>
      </c>
      <c r="D307" s="23" t="s">
        <v>558</v>
      </c>
      <c r="E307" s="28" t="s">
        <v>871</v>
      </c>
      <c r="F307" s="21">
        <v>2026</v>
      </c>
      <c r="G307" s="21" t="s">
        <v>30</v>
      </c>
      <c r="H307" s="21">
        <v>567</v>
      </c>
      <c r="I307" s="24" t="s">
        <v>171</v>
      </c>
      <c r="J307" s="25">
        <v>45789</v>
      </c>
      <c r="K307" s="25"/>
      <c r="L307" s="13">
        <f ca="1">DATEDIF(J307, TODAY(), "m")</f>
        <v>10</v>
      </c>
      <c r="M307" s="25"/>
      <c r="Q307" s="12">
        <v>104</v>
      </c>
      <c r="S307" s="21" t="s">
        <v>88</v>
      </c>
    </row>
    <row r="308" spans="1:22" ht="15.75" customHeight="1" x14ac:dyDescent="0.25">
      <c r="A308" s="21" t="s">
        <v>872</v>
      </c>
      <c r="B308" s="21">
        <v>699</v>
      </c>
      <c r="C308" s="22" t="s">
        <v>283</v>
      </c>
      <c r="D308" s="23" t="s">
        <v>742</v>
      </c>
      <c r="E308" s="7" t="s">
        <v>873</v>
      </c>
      <c r="F308" s="21">
        <v>2024</v>
      </c>
      <c r="G308" s="21" t="s">
        <v>30</v>
      </c>
      <c r="H308" s="21">
        <v>567</v>
      </c>
      <c r="I308" s="24" t="s">
        <v>101</v>
      </c>
      <c r="L308" s="13">
        <f ca="1">DATEDIF(J308, TODAY(), "m")</f>
        <v>1515</v>
      </c>
      <c r="Q308" s="12">
        <v>104</v>
      </c>
    </row>
    <row r="309" spans="1:22" ht="15.75" customHeight="1" x14ac:dyDescent="0.25">
      <c r="A309" s="20" t="s">
        <v>874</v>
      </c>
      <c r="C309" s="22" t="s">
        <v>283</v>
      </c>
      <c r="D309" s="26" t="s">
        <v>875</v>
      </c>
      <c r="E309" s="28" t="s">
        <v>876</v>
      </c>
      <c r="F309" s="20">
        <v>2026</v>
      </c>
      <c r="G309" s="20" t="s">
        <v>30</v>
      </c>
      <c r="H309" s="20">
        <v>579</v>
      </c>
      <c r="I309" s="24" t="s">
        <v>171</v>
      </c>
      <c r="J309" s="27"/>
      <c r="K309" s="27"/>
      <c r="L309" s="13">
        <f ca="1">DATEDIF(J309, TODAY(), "m")</f>
        <v>1515</v>
      </c>
      <c r="M309" s="27"/>
      <c r="N309" s="20"/>
      <c r="O309" s="27"/>
      <c r="P309" s="27"/>
      <c r="Q309" s="12">
        <v>104</v>
      </c>
    </row>
    <row r="310" spans="1:22" ht="15.75" customHeight="1" x14ac:dyDescent="0.25">
      <c r="A310" s="20" t="s">
        <v>877</v>
      </c>
      <c r="C310" s="22" t="s">
        <v>283</v>
      </c>
      <c r="D310" s="26" t="s">
        <v>875</v>
      </c>
      <c r="E310" s="28" t="s">
        <v>878</v>
      </c>
      <c r="F310" s="20">
        <v>2026</v>
      </c>
      <c r="G310" s="20" t="s">
        <v>30</v>
      </c>
      <c r="H310" s="20">
        <v>579</v>
      </c>
      <c r="I310" s="24" t="s">
        <v>171</v>
      </c>
      <c r="J310" s="27"/>
      <c r="K310" s="27"/>
      <c r="L310" s="13">
        <f ca="1">DATEDIF(J310, TODAY(), "m")</f>
        <v>1515</v>
      </c>
      <c r="M310" s="27"/>
      <c r="N310" s="20"/>
      <c r="O310" s="27"/>
      <c r="P310" s="27"/>
      <c r="Q310" s="12">
        <v>104</v>
      </c>
    </row>
    <row r="311" spans="1:22" ht="15.75" customHeight="1" x14ac:dyDescent="0.25">
      <c r="A311" s="24" t="s">
        <v>879</v>
      </c>
      <c r="C311" s="22" t="s">
        <v>283</v>
      </c>
      <c r="D311" s="26" t="s">
        <v>875</v>
      </c>
      <c r="E311" s="28" t="s">
        <v>880</v>
      </c>
      <c r="F311" s="20">
        <v>2026</v>
      </c>
      <c r="G311" s="20" t="s">
        <v>30</v>
      </c>
      <c r="H311" s="20">
        <v>579</v>
      </c>
      <c r="I311" s="24" t="s">
        <v>171</v>
      </c>
      <c r="J311" s="27"/>
      <c r="K311" s="27"/>
      <c r="L311" s="13">
        <f ca="1">DATEDIF(J311, TODAY(), "m")</f>
        <v>1515</v>
      </c>
      <c r="M311" s="27"/>
      <c r="N311" s="20"/>
      <c r="O311" s="27"/>
      <c r="P311" s="27"/>
      <c r="Q311" s="12">
        <v>104</v>
      </c>
      <c r="V311" s="66"/>
    </row>
    <row r="312" spans="1:22" ht="15.75" customHeight="1" x14ac:dyDescent="0.25">
      <c r="A312" s="20" t="s">
        <v>881</v>
      </c>
      <c r="C312" s="22" t="s">
        <v>283</v>
      </c>
      <c r="D312" s="26" t="s">
        <v>875</v>
      </c>
      <c r="E312" s="28" t="s">
        <v>882</v>
      </c>
      <c r="F312" s="20">
        <v>2026</v>
      </c>
      <c r="G312" s="20" t="s">
        <v>30</v>
      </c>
      <c r="H312" s="20">
        <v>579</v>
      </c>
      <c r="I312" s="24" t="s">
        <v>171</v>
      </c>
      <c r="J312" s="27"/>
      <c r="K312" s="27"/>
      <c r="L312" s="13">
        <f ca="1">DATEDIF(J312, TODAY(), "m")</f>
        <v>1515</v>
      </c>
      <c r="M312" s="27"/>
      <c r="N312" s="20"/>
      <c r="O312" s="27"/>
      <c r="P312" s="27"/>
      <c r="Q312" s="12">
        <v>104</v>
      </c>
    </row>
    <row r="313" spans="1:22" ht="15.75" customHeight="1" x14ac:dyDescent="0.25">
      <c r="A313" s="20" t="s">
        <v>883</v>
      </c>
      <c r="C313" s="22" t="s">
        <v>283</v>
      </c>
      <c r="D313" s="26" t="s">
        <v>875</v>
      </c>
      <c r="E313" s="28" t="s">
        <v>884</v>
      </c>
      <c r="F313" s="20">
        <v>2026</v>
      </c>
      <c r="G313" s="20" t="s">
        <v>30</v>
      </c>
      <c r="H313" s="20">
        <v>579</v>
      </c>
      <c r="I313" s="24" t="s">
        <v>171</v>
      </c>
      <c r="J313" s="27"/>
      <c r="K313" s="27"/>
      <c r="L313" s="13">
        <f ca="1">DATEDIF(J313, TODAY(), "m")</f>
        <v>1515</v>
      </c>
      <c r="M313" s="27"/>
      <c r="N313" s="20"/>
      <c r="O313" s="27"/>
      <c r="P313" s="27"/>
      <c r="Q313" s="12">
        <v>104</v>
      </c>
    </row>
    <row r="314" spans="1:22" ht="15.75" customHeight="1" x14ac:dyDescent="0.25">
      <c r="A314" s="20" t="s">
        <v>885</v>
      </c>
      <c r="C314" s="22" t="s">
        <v>283</v>
      </c>
      <c r="D314" s="26" t="s">
        <v>875</v>
      </c>
      <c r="E314" s="28" t="s">
        <v>886</v>
      </c>
      <c r="F314" s="20">
        <v>2026</v>
      </c>
      <c r="G314" s="20" t="s">
        <v>30</v>
      </c>
      <c r="H314" s="20">
        <v>579</v>
      </c>
      <c r="I314" s="24" t="s">
        <v>171</v>
      </c>
      <c r="J314" s="27"/>
      <c r="K314" s="27"/>
      <c r="L314" s="13">
        <f ca="1">DATEDIF(J314, TODAY(), "m")</f>
        <v>1515</v>
      </c>
      <c r="M314" s="27"/>
      <c r="N314" s="20"/>
      <c r="O314" s="27"/>
      <c r="P314" s="27"/>
      <c r="Q314" s="12">
        <v>104</v>
      </c>
    </row>
    <row r="315" spans="1:22" ht="15.75" customHeight="1" x14ac:dyDescent="0.25">
      <c r="A315" s="20" t="s">
        <v>887</v>
      </c>
      <c r="C315" s="22" t="s">
        <v>283</v>
      </c>
      <c r="D315" s="26" t="s">
        <v>875</v>
      </c>
      <c r="E315" s="28" t="s">
        <v>888</v>
      </c>
      <c r="F315" s="20">
        <v>2026</v>
      </c>
      <c r="G315" s="20" t="s">
        <v>30</v>
      </c>
      <c r="H315" s="20">
        <v>579</v>
      </c>
      <c r="I315" s="24" t="s">
        <v>171</v>
      </c>
      <c r="J315" s="27"/>
      <c r="K315" s="27"/>
      <c r="L315" s="13">
        <f ca="1">DATEDIF(J315, TODAY(), "m")</f>
        <v>1515</v>
      </c>
      <c r="M315" s="27"/>
      <c r="N315" s="20"/>
      <c r="O315" s="27"/>
      <c r="P315" s="27"/>
      <c r="Q315" s="12">
        <v>104</v>
      </c>
    </row>
    <row r="316" spans="1:22" ht="15.75" customHeight="1" x14ac:dyDescent="0.25">
      <c r="A316" s="20" t="s">
        <v>889</v>
      </c>
      <c r="C316" s="22" t="s">
        <v>283</v>
      </c>
      <c r="D316" s="26" t="s">
        <v>875</v>
      </c>
      <c r="E316" s="28" t="s">
        <v>890</v>
      </c>
      <c r="F316" s="20">
        <v>2026</v>
      </c>
      <c r="G316" s="20" t="s">
        <v>30</v>
      </c>
      <c r="H316" s="20">
        <v>579</v>
      </c>
      <c r="I316" s="24" t="s">
        <v>171</v>
      </c>
      <c r="J316" s="27"/>
      <c r="K316" s="27"/>
      <c r="L316" s="13">
        <f ca="1">DATEDIF(J316, TODAY(), "m")</f>
        <v>1515</v>
      </c>
      <c r="M316" s="27"/>
      <c r="N316" s="20"/>
      <c r="O316" s="27"/>
      <c r="P316" s="27"/>
      <c r="Q316" s="12">
        <v>104</v>
      </c>
    </row>
    <row r="317" spans="1:22" ht="15.75" customHeight="1" x14ac:dyDescent="0.25">
      <c r="A317" s="20" t="s">
        <v>891</v>
      </c>
      <c r="C317" s="9" t="s">
        <v>23</v>
      </c>
      <c r="D317" s="26" t="s">
        <v>24</v>
      </c>
      <c r="E317" s="28" t="s">
        <v>892</v>
      </c>
      <c r="F317" s="20">
        <v>2026</v>
      </c>
      <c r="G317" s="20" t="s">
        <v>30</v>
      </c>
      <c r="H317" s="20">
        <v>567</v>
      </c>
      <c r="I317" s="24" t="s">
        <v>109</v>
      </c>
      <c r="J317" s="27"/>
      <c r="K317" s="27"/>
      <c r="L317" s="13">
        <f ca="1">DATEDIF(J317, TODAY(), "m")</f>
        <v>1515</v>
      </c>
      <c r="M317" s="27"/>
      <c r="N317" s="20" t="s">
        <v>856</v>
      </c>
      <c r="O317" s="27"/>
      <c r="P317" s="27"/>
      <c r="Q317" s="12">
        <v>104</v>
      </c>
    </row>
    <row r="318" spans="1:22" ht="15.75" customHeight="1" x14ac:dyDescent="0.25">
      <c r="A318" s="20" t="s">
        <v>893</v>
      </c>
      <c r="C318" s="9" t="s">
        <v>23</v>
      </c>
      <c r="D318" s="26" t="s">
        <v>24</v>
      </c>
      <c r="E318" s="27" t="s">
        <v>894</v>
      </c>
      <c r="F318" s="20">
        <v>2026</v>
      </c>
      <c r="G318" s="20" t="s">
        <v>30</v>
      </c>
      <c r="H318" s="20">
        <v>567</v>
      </c>
      <c r="I318" s="24" t="s">
        <v>109</v>
      </c>
      <c r="J318" s="27"/>
      <c r="K318" s="27"/>
      <c r="L318" s="13">
        <f ca="1">DATEDIF(J318, TODAY(), "m")</f>
        <v>1515</v>
      </c>
      <c r="M318" s="27"/>
      <c r="N318" s="20" t="s">
        <v>856</v>
      </c>
      <c r="O318" s="27"/>
      <c r="P318" s="27"/>
      <c r="Q318" s="12">
        <v>104</v>
      </c>
    </row>
    <row r="319" spans="1:22" ht="15.75" customHeight="1" x14ac:dyDescent="0.25">
      <c r="A319" s="27" t="s">
        <v>895</v>
      </c>
      <c r="B319" s="21">
        <v>1042</v>
      </c>
      <c r="C319" s="22" t="s">
        <v>81</v>
      </c>
      <c r="D319" s="23" t="s">
        <v>558</v>
      </c>
      <c r="E319" s="28" t="s">
        <v>896</v>
      </c>
      <c r="F319" s="21">
        <v>2026</v>
      </c>
      <c r="G319" s="21" t="s">
        <v>30</v>
      </c>
      <c r="H319" s="21">
        <v>567</v>
      </c>
      <c r="I319" s="24"/>
      <c r="J319" s="25"/>
      <c r="K319" s="25"/>
      <c r="L319" s="13">
        <f ca="1">DATEDIF(J319, TODAY(), "m")</f>
        <v>1515</v>
      </c>
      <c r="M319" s="25"/>
      <c r="Q319" s="12">
        <v>104</v>
      </c>
    </row>
    <row r="320" spans="1:22" ht="15.75" customHeight="1" x14ac:dyDescent="0.25">
      <c r="A320" s="27" t="s">
        <v>897</v>
      </c>
      <c r="B320" s="21">
        <v>1043</v>
      </c>
      <c r="C320" s="22" t="s">
        <v>81</v>
      </c>
      <c r="D320" s="23" t="s">
        <v>558</v>
      </c>
      <c r="E320" s="28" t="s">
        <v>898</v>
      </c>
      <c r="F320" s="21">
        <v>2026</v>
      </c>
      <c r="G320" s="21" t="s">
        <v>30</v>
      </c>
      <c r="H320" s="21">
        <v>567</v>
      </c>
      <c r="I320" s="24"/>
      <c r="J320" s="25"/>
      <c r="K320" s="25"/>
      <c r="L320" s="13">
        <f ca="1">DATEDIF(J320, TODAY(), "m")</f>
        <v>1515</v>
      </c>
      <c r="M320" s="25"/>
      <c r="Q320" s="12">
        <v>104</v>
      </c>
    </row>
    <row r="321" spans="1:22" s="27" customFormat="1" ht="15.75" customHeight="1" x14ac:dyDescent="0.25">
      <c r="A321" s="20" t="s">
        <v>899</v>
      </c>
      <c r="B321" s="21"/>
      <c r="C321" s="9" t="s">
        <v>23</v>
      </c>
      <c r="D321" s="26" t="s">
        <v>24</v>
      </c>
      <c r="E321" s="27" t="s">
        <v>900</v>
      </c>
      <c r="F321" s="20"/>
      <c r="G321" s="20"/>
      <c r="H321" s="20"/>
      <c r="I321" s="24"/>
      <c r="J321" s="25"/>
      <c r="K321" s="25"/>
      <c r="L321" s="13">
        <f ca="1">DATEDIF(J321, TODAY(), "m")</f>
        <v>1515</v>
      </c>
      <c r="M321" s="25"/>
      <c r="N321" s="20" t="s">
        <v>856</v>
      </c>
      <c r="O321" s="21"/>
      <c r="P321" s="21"/>
      <c r="Q321" s="12">
        <v>104</v>
      </c>
      <c r="R321" s="21"/>
      <c r="S321" s="21"/>
      <c r="T321" s="21"/>
      <c r="U321" s="21"/>
      <c r="V321" s="63"/>
    </row>
    <row r="322" spans="1:22" ht="15.75" customHeight="1" x14ac:dyDescent="0.25">
      <c r="A322" s="20" t="s">
        <v>901</v>
      </c>
      <c r="C322" s="9" t="s">
        <v>23</v>
      </c>
      <c r="D322" s="26" t="s">
        <v>24</v>
      </c>
      <c r="E322" s="27" t="s">
        <v>902</v>
      </c>
      <c r="F322" s="20"/>
      <c r="G322" s="20"/>
      <c r="H322" s="20"/>
      <c r="I322" s="24"/>
      <c r="J322" s="25"/>
      <c r="K322" s="25"/>
      <c r="L322" s="13">
        <f ca="1">DATEDIF(J322, TODAY(), "m")</f>
        <v>1515</v>
      </c>
      <c r="M322" s="25"/>
      <c r="N322" s="20" t="s">
        <v>856</v>
      </c>
      <c r="Q322" s="12">
        <v>104</v>
      </c>
    </row>
    <row r="323" spans="1:22" ht="15.75" customHeight="1" x14ac:dyDescent="0.25">
      <c r="A323" s="21" t="s">
        <v>903</v>
      </c>
      <c r="B323" s="21" t="s">
        <v>904</v>
      </c>
      <c r="C323" s="22" t="s">
        <v>283</v>
      </c>
      <c r="D323" s="23" t="s">
        <v>510</v>
      </c>
      <c r="E323" s="28" t="s">
        <v>905</v>
      </c>
      <c r="F323" s="21">
        <v>2026</v>
      </c>
      <c r="G323" s="21" t="s">
        <v>30</v>
      </c>
      <c r="H323" s="21">
        <v>536</v>
      </c>
      <c r="I323" s="24" t="s">
        <v>906</v>
      </c>
      <c r="L323" s="13">
        <f ca="1">DATEDIF(J323, TODAY(), "m")</f>
        <v>1515</v>
      </c>
      <c r="Q323" s="12">
        <v>104</v>
      </c>
    </row>
    <row r="324" spans="1:22" ht="15.75" customHeight="1" x14ac:dyDescent="0.25">
      <c r="A324" s="21" t="s">
        <v>907</v>
      </c>
      <c r="B324" s="21" t="s">
        <v>908</v>
      </c>
      <c r="C324" s="22" t="s">
        <v>283</v>
      </c>
      <c r="D324" s="23" t="s">
        <v>510</v>
      </c>
      <c r="E324" s="28" t="s">
        <v>909</v>
      </c>
      <c r="F324" s="21">
        <v>2026</v>
      </c>
      <c r="G324" s="21" t="s">
        <v>30</v>
      </c>
      <c r="H324" s="21">
        <v>536</v>
      </c>
      <c r="I324" s="24" t="s">
        <v>906</v>
      </c>
      <c r="L324" s="13">
        <f ca="1">DATEDIF(J324, TODAY(), "m")</f>
        <v>1515</v>
      </c>
      <c r="Q324" s="12">
        <v>104</v>
      </c>
    </row>
    <row r="325" spans="1:22" ht="15.75" customHeight="1" x14ac:dyDescent="0.25">
      <c r="A325" s="27" t="s">
        <v>910</v>
      </c>
      <c r="C325" s="22" t="s">
        <v>283</v>
      </c>
      <c r="D325" s="23" t="s">
        <v>514</v>
      </c>
      <c r="E325" s="28" t="s">
        <v>911</v>
      </c>
      <c r="F325" s="21">
        <v>2026</v>
      </c>
      <c r="G325" s="20" t="s">
        <v>30</v>
      </c>
      <c r="H325" s="21">
        <v>567</v>
      </c>
      <c r="I325" s="24" t="s">
        <v>912</v>
      </c>
      <c r="J325" s="65">
        <v>45971</v>
      </c>
      <c r="K325" s="65">
        <v>48528</v>
      </c>
      <c r="L325" s="13">
        <f ca="1">DATEDIF(J325, TODAY(), "m")</f>
        <v>4</v>
      </c>
      <c r="M325" s="65" t="s">
        <v>913</v>
      </c>
      <c r="N325" s="20" t="s">
        <v>914</v>
      </c>
      <c r="O325" s="21" t="s">
        <v>517</v>
      </c>
      <c r="P325" s="27"/>
      <c r="Q325" s="12">
        <v>104</v>
      </c>
      <c r="R325" s="21" t="s">
        <v>89</v>
      </c>
      <c r="U325" s="21" t="s">
        <v>488</v>
      </c>
    </row>
    <row r="326" spans="1:22" ht="15.75" customHeight="1" x14ac:dyDescent="0.25">
      <c r="A326" s="27" t="s">
        <v>915</v>
      </c>
      <c r="C326" s="22" t="s">
        <v>283</v>
      </c>
      <c r="D326" s="23" t="s">
        <v>514</v>
      </c>
      <c r="E326" s="28" t="s">
        <v>916</v>
      </c>
      <c r="F326" s="21">
        <v>2026</v>
      </c>
      <c r="G326" s="20" t="s">
        <v>30</v>
      </c>
      <c r="H326" s="21">
        <v>567</v>
      </c>
      <c r="I326" s="24" t="s">
        <v>912</v>
      </c>
      <c r="J326" s="65">
        <v>45971</v>
      </c>
      <c r="K326" s="65">
        <v>48528</v>
      </c>
      <c r="L326" s="13">
        <f ca="1">DATEDIF(J326, TODAY(), "m")</f>
        <v>4</v>
      </c>
      <c r="M326" s="65" t="s">
        <v>917</v>
      </c>
      <c r="N326" s="20" t="s">
        <v>914</v>
      </c>
      <c r="O326" s="21" t="s">
        <v>517</v>
      </c>
      <c r="P326" s="27"/>
      <c r="Q326" s="12">
        <v>104</v>
      </c>
      <c r="R326" s="21" t="s">
        <v>89</v>
      </c>
      <c r="U326" s="21" t="s">
        <v>488</v>
      </c>
    </row>
    <row r="327" spans="1:22" ht="15.75" customHeight="1" x14ac:dyDescent="0.25">
      <c r="A327" s="21" t="s">
        <v>918</v>
      </c>
      <c r="C327" s="22" t="s">
        <v>81</v>
      </c>
      <c r="D327" s="23" t="s">
        <v>732</v>
      </c>
      <c r="E327" s="21" t="s">
        <v>919</v>
      </c>
      <c r="I327" s="24"/>
      <c r="L327" s="13">
        <f ca="1">DATEDIF(J327, TODAY(), "m")</f>
        <v>1515</v>
      </c>
      <c r="O327" s="21" t="s">
        <v>734</v>
      </c>
      <c r="Q327" s="12">
        <v>104</v>
      </c>
    </row>
    <row r="328" spans="1:22" ht="15.75" customHeight="1" x14ac:dyDescent="0.25">
      <c r="A328" s="20" t="s">
        <v>920</v>
      </c>
      <c r="B328" s="21">
        <v>52</v>
      </c>
      <c r="C328" s="22" t="s">
        <v>283</v>
      </c>
      <c r="D328" s="26" t="s">
        <v>485</v>
      </c>
      <c r="E328" s="27" t="s">
        <v>921</v>
      </c>
      <c r="F328" s="20">
        <v>2025</v>
      </c>
      <c r="G328" s="20" t="s">
        <v>30</v>
      </c>
      <c r="H328" s="20">
        <v>548</v>
      </c>
      <c r="I328" s="24" t="s">
        <v>101</v>
      </c>
      <c r="J328" s="38">
        <v>45809</v>
      </c>
      <c r="L328" s="13">
        <f ca="1">DATEDIF(J328, TODAY(), "m")</f>
        <v>10</v>
      </c>
      <c r="N328" s="20"/>
      <c r="Q328" s="12">
        <v>104</v>
      </c>
      <c r="V328" s="22" t="s">
        <v>568</v>
      </c>
    </row>
    <row r="329" spans="1:22" ht="15.75" customHeight="1" x14ac:dyDescent="0.25">
      <c r="A329" s="21" t="s">
        <v>922</v>
      </c>
      <c r="C329" s="22" t="s">
        <v>283</v>
      </c>
      <c r="D329" s="23" t="s">
        <v>923</v>
      </c>
      <c r="E329" s="21" t="s">
        <v>924</v>
      </c>
      <c r="F329" s="21">
        <v>2026</v>
      </c>
      <c r="G329" s="21" t="s">
        <v>30</v>
      </c>
      <c r="H329" s="21">
        <v>567</v>
      </c>
      <c r="I329" s="24"/>
      <c r="L329" s="13">
        <f ca="1">DATEDIF(J329, TODAY(), "m")</f>
        <v>1515</v>
      </c>
      <c r="M329" s="21" t="s">
        <v>925</v>
      </c>
      <c r="Q329" s="12">
        <v>104</v>
      </c>
      <c r="V329" s="22" t="s">
        <v>568</v>
      </c>
    </row>
    <row r="330" spans="1:22" ht="15.75" customHeight="1" x14ac:dyDescent="0.25">
      <c r="A330" s="21" t="s">
        <v>926</v>
      </c>
      <c r="C330" s="9" t="s">
        <v>23</v>
      </c>
      <c r="D330" s="23" t="s">
        <v>24</v>
      </c>
      <c r="E330" s="21" t="s">
        <v>927</v>
      </c>
      <c r="F330" s="21">
        <v>2026</v>
      </c>
      <c r="G330" s="21" t="s">
        <v>30</v>
      </c>
      <c r="H330" s="21">
        <v>567</v>
      </c>
      <c r="I330" s="24"/>
      <c r="L330" s="13">
        <f ca="1">DATEDIF(J330, TODAY(), "m")</f>
        <v>1515</v>
      </c>
      <c r="M330" s="21" t="s">
        <v>928</v>
      </c>
      <c r="Q330" s="12">
        <v>104</v>
      </c>
    </row>
    <row r="331" spans="1:22" ht="15.75" customHeight="1" x14ac:dyDescent="0.25">
      <c r="A331" s="21" t="s">
        <v>929</v>
      </c>
      <c r="C331" s="9" t="s">
        <v>23</v>
      </c>
      <c r="D331" s="23" t="s">
        <v>24</v>
      </c>
      <c r="E331" s="21" t="s">
        <v>930</v>
      </c>
      <c r="H331" s="21">
        <v>567</v>
      </c>
      <c r="I331" s="24"/>
      <c r="J331" s="38">
        <v>45961</v>
      </c>
      <c r="L331" s="13">
        <f ca="1">DATEDIF(J331, TODAY(), "m")</f>
        <v>5</v>
      </c>
      <c r="M331" s="21" t="s">
        <v>931</v>
      </c>
      <c r="Q331" s="12">
        <v>104</v>
      </c>
    </row>
    <row r="332" spans="1:22" ht="15.75" customHeight="1" x14ac:dyDescent="0.25">
      <c r="A332" s="21" t="s">
        <v>932</v>
      </c>
      <c r="C332" s="9" t="s">
        <v>23</v>
      </c>
      <c r="D332" s="23" t="s">
        <v>24</v>
      </c>
      <c r="E332" s="21" t="s">
        <v>933</v>
      </c>
      <c r="H332" s="21">
        <v>567</v>
      </c>
      <c r="I332" s="24"/>
      <c r="L332" s="13">
        <f ca="1">DATEDIF(J332, TODAY(), "m")</f>
        <v>1515</v>
      </c>
      <c r="Q332" s="12">
        <v>104</v>
      </c>
    </row>
    <row r="333" spans="1:22" ht="15.75" customHeight="1" x14ac:dyDescent="0.25">
      <c r="A333" s="21" t="s">
        <v>934</v>
      </c>
      <c r="C333" s="9" t="s">
        <v>23</v>
      </c>
      <c r="D333" s="23" t="s">
        <v>24</v>
      </c>
      <c r="E333" s="21" t="s">
        <v>935</v>
      </c>
      <c r="H333" s="21">
        <v>567</v>
      </c>
      <c r="I333" s="24" t="s">
        <v>171</v>
      </c>
      <c r="J333" s="21" t="s">
        <v>936</v>
      </c>
      <c r="L333" s="13" t="e">
        <f ca="1">DATEDIF(J333, TODAY(), "m")</f>
        <v>#VALUE!</v>
      </c>
      <c r="Q333" s="12">
        <v>104</v>
      </c>
    </row>
    <row r="334" spans="1:22" ht="15.75" customHeight="1" x14ac:dyDescent="0.25">
      <c r="A334" s="21" t="s">
        <v>937</v>
      </c>
      <c r="C334" s="9" t="s">
        <v>23</v>
      </c>
      <c r="D334" s="23" t="s">
        <v>24</v>
      </c>
      <c r="E334" s="21" t="s">
        <v>938</v>
      </c>
      <c r="H334" s="21">
        <v>567</v>
      </c>
      <c r="I334" s="24" t="s">
        <v>171</v>
      </c>
      <c r="J334" s="21" t="s">
        <v>939</v>
      </c>
      <c r="L334" s="13" t="e">
        <f ca="1">DATEDIF(J334, TODAY(), "m")</f>
        <v>#VALUE!</v>
      </c>
      <c r="Q334" s="12">
        <v>104</v>
      </c>
    </row>
    <row r="335" spans="1:22" ht="15.75" customHeight="1" x14ac:dyDescent="0.25">
      <c r="A335" s="21" t="s">
        <v>940</v>
      </c>
      <c r="C335" s="22" t="s">
        <v>283</v>
      </c>
      <c r="D335" s="23" t="s">
        <v>580</v>
      </c>
      <c r="E335" s="27" t="s">
        <v>941</v>
      </c>
      <c r="G335" s="21" t="s">
        <v>30</v>
      </c>
      <c r="H335" s="21">
        <v>579</v>
      </c>
      <c r="I335" s="24"/>
      <c r="L335" s="13">
        <f ca="1">DATEDIF(J335, TODAY(), "m")</f>
        <v>1515</v>
      </c>
      <c r="Q335" s="12">
        <v>104</v>
      </c>
    </row>
    <row r="336" spans="1:22" ht="15.75" customHeight="1" x14ac:dyDescent="0.25">
      <c r="A336" s="21" t="s">
        <v>942</v>
      </c>
      <c r="C336" s="22" t="s">
        <v>81</v>
      </c>
      <c r="D336" s="23" t="s">
        <v>943</v>
      </c>
      <c r="E336" s="36" t="s">
        <v>944</v>
      </c>
      <c r="F336" s="37"/>
      <c r="G336" s="21" t="s">
        <v>30</v>
      </c>
      <c r="H336" s="21">
        <v>567</v>
      </c>
      <c r="I336" s="67"/>
      <c r="J336" s="38">
        <v>46086</v>
      </c>
      <c r="L336" s="13">
        <f ca="1">DATEDIF(J336, TODAY(), "m")</f>
        <v>0</v>
      </c>
      <c r="Q336" s="12">
        <v>104</v>
      </c>
    </row>
    <row r="337" spans="1:22" ht="15.75" customHeight="1" x14ac:dyDescent="0.25">
      <c r="A337" s="21" t="s">
        <v>945</v>
      </c>
      <c r="C337" s="22" t="s">
        <v>81</v>
      </c>
      <c r="D337" s="23" t="s">
        <v>943</v>
      </c>
      <c r="E337" s="36" t="s">
        <v>946</v>
      </c>
      <c r="F337" s="68"/>
      <c r="G337" s="21" t="s">
        <v>30</v>
      </c>
      <c r="H337" s="21">
        <v>567</v>
      </c>
      <c r="I337" s="67"/>
      <c r="J337" s="38">
        <v>46086</v>
      </c>
      <c r="L337" s="13">
        <f ca="1">DATEDIF(J337, TODAY(), "m")</f>
        <v>0</v>
      </c>
      <c r="Q337" s="12">
        <v>104</v>
      </c>
    </row>
    <row r="338" spans="1:22" ht="15.75" customHeight="1" x14ac:dyDescent="0.25">
      <c r="A338" s="21" t="s">
        <v>947</v>
      </c>
      <c r="C338" s="22" t="s">
        <v>283</v>
      </c>
      <c r="D338" s="23" t="s">
        <v>540</v>
      </c>
      <c r="E338" s="69" t="s">
        <v>948</v>
      </c>
      <c r="G338" s="21" t="s">
        <v>30</v>
      </c>
      <c r="H338" s="21">
        <v>536</v>
      </c>
      <c r="I338" s="24"/>
      <c r="L338" s="13">
        <f ca="1">DATEDIF(J338, TODAY(), "m")</f>
        <v>1515</v>
      </c>
      <c r="Q338" s="12">
        <v>104</v>
      </c>
      <c r="V338" s="22" t="s">
        <v>949</v>
      </c>
    </row>
    <row r="339" spans="1:22" ht="15.75" customHeight="1" x14ac:dyDescent="0.25">
      <c r="A339" s="7" t="s">
        <v>950</v>
      </c>
      <c r="C339" s="22" t="s">
        <v>283</v>
      </c>
      <c r="D339" s="23" t="s">
        <v>593</v>
      </c>
      <c r="E339" s="7" t="s">
        <v>951</v>
      </c>
      <c r="F339" s="7"/>
      <c r="G339" s="21" t="s">
        <v>30</v>
      </c>
      <c r="H339" s="21">
        <v>567</v>
      </c>
      <c r="I339" s="24"/>
      <c r="J339" s="11"/>
      <c r="K339" s="25"/>
      <c r="L339" s="13">
        <f ca="1">DATEDIF(J339, TODAY(), "m")</f>
        <v>1515</v>
      </c>
      <c r="M339" s="25"/>
      <c r="Q339" s="12">
        <v>104</v>
      </c>
    </row>
    <row r="340" spans="1:22" ht="15.75" customHeight="1" x14ac:dyDescent="0.25">
      <c r="A340" s="7" t="s">
        <v>952</v>
      </c>
      <c r="C340" s="22" t="s">
        <v>81</v>
      </c>
      <c r="D340" s="23" t="s">
        <v>953</v>
      </c>
      <c r="E340" s="7"/>
      <c r="F340" s="7"/>
      <c r="G340" s="21" t="s">
        <v>26</v>
      </c>
      <c r="H340" s="21">
        <v>536</v>
      </c>
      <c r="I340" s="24"/>
      <c r="J340" s="11"/>
      <c r="K340" s="25"/>
      <c r="L340" s="13"/>
      <c r="M340" s="25"/>
      <c r="N340" s="21" t="s">
        <v>954</v>
      </c>
      <c r="Q340" s="12">
        <v>104</v>
      </c>
    </row>
    <row r="341" spans="1:22" ht="15.75" customHeight="1" x14ac:dyDescent="0.25">
      <c r="A341" s="21" t="s">
        <v>952</v>
      </c>
      <c r="C341" s="22" t="s">
        <v>283</v>
      </c>
      <c r="D341" s="23" t="s">
        <v>510</v>
      </c>
      <c r="E341" s="70"/>
      <c r="F341" s="71"/>
      <c r="I341" s="24"/>
      <c r="L341" s="13"/>
      <c r="Q341" s="12">
        <v>104</v>
      </c>
    </row>
    <row r="342" spans="1:22" ht="15.75" customHeight="1" x14ac:dyDescent="0.25">
      <c r="A342" s="30" t="s">
        <v>955</v>
      </c>
      <c r="C342" s="22" t="s">
        <v>81</v>
      </c>
      <c r="D342" s="23" t="s">
        <v>956</v>
      </c>
      <c r="E342" s="21" t="s">
        <v>957</v>
      </c>
      <c r="F342" s="21" t="s">
        <v>327</v>
      </c>
      <c r="G342" s="21" t="s">
        <v>30</v>
      </c>
      <c r="H342" s="21" t="s">
        <v>115</v>
      </c>
      <c r="I342" s="24" t="s">
        <v>109</v>
      </c>
      <c r="J342" s="25">
        <v>44680</v>
      </c>
      <c r="K342" s="25">
        <v>45776</v>
      </c>
      <c r="L342" s="13">
        <f ca="1">DATEDIF(J342, TODAY(), "m")</f>
        <v>47</v>
      </c>
      <c r="M342" s="25"/>
      <c r="Q342" s="12">
        <v>104</v>
      </c>
      <c r="R342" s="21" t="s">
        <v>89</v>
      </c>
      <c r="V342" s="32" t="s">
        <v>218</v>
      </c>
    </row>
    <row r="343" spans="1:22" ht="15.75" customHeight="1" x14ac:dyDescent="0.25">
      <c r="A343" s="20" t="s">
        <v>958</v>
      </c>
      <c r="C343" s="22" t="s">
        <v>81</v>
      </c>
      <c r="D343" s="26" t="s">
        <v>959</v>
      </c>
      <c r="E343" s="20" t="s">
        <v>960</v>
      </c>
      <c r="F343" s="20" t="s">
        <v>205</v>
      </c>
      <c r="G343" s="20" t="s">
        <v>30</v>
      </c>
      <c r="H343" s="20" t="s">
        <v>115</v>
      </c>
      <c r="I343" s="24" t="s">
        <v>109</v>
      </c>
      <c r="L343" s="13">
        <f ca="1">DATEDIF(J343, TODAY(), "m")</f>
        <v>1515</v>
      </c>
      <c r="N343" s="20"/>
      <c r="O343" s="21" t="s">
        <v>675</v>
      </c>
      <c r="P343" s="21" t="s">
        <v>961</v>
      </c>
      <c r="Q343" s="12">
        <v>104</v>
      </c>
    </row>
    <row r="344" spans="1:22" ht="15.75" customHeight="1" x14ac:dyDescent="0.25">
      <c r="A344" s="20" t="s">
        <v>962</v>
      </c>
      <c r="C344" s="22" t="s">
        <v>81</v>
      </c>
      <c r="D344" s="26" t="s">
        <v>956</v>
      </c>
      <c r="E344" s="20" t="s">
        <v>963</v>
      </c>
      <c r="F344" s="20" t="s">
        <v>44</v>
      </c>
      <c r="G344" s="20" t="s">
        <v>30</v>
      </c>
      <c r="H344" s="20" t="s">
        <v>115</v>
      </c>
      <c r="I344" s="24" t="s">
        <v>109</v>
      </c>
      <c r="J344" s="25">
        <v>45139</v>
      </c>
      <c r="K344" s="25">
        <v>46235</v>
      </c>
      <c r="L344" s="13">
        <f ca="1">DATEDIF(J344, TODAY(), "m")</f>
        <v>32</v>
      </c>
      <c r="M344" s="25"/>
      <c r="N344" s="20"/>
      <c r="Q344" s="12">
        <v>104</v>
      </c>
      <c r="R344" s="21" t="s">
        <v>89</v>
      </c>
    </row>
    <row r="345" spans="1:22" ht="15.75" customHeight="1" x14ac:dyDescent="0.25">
      <c r="A345" s="21" t="s">
        <v>964</v>
      </c>
      <c r="C345" s="22" t="s">
        <v>81</v>
      </c>
      <c r="D345" s="23" t="s">
        <v>956</v>
      </c>
      <c r="E345" s="21" t="s">
        <v>965</v>
      </c>
      <c r="F345" s="21" t="s">
        <v>44</v>
      </c>
      <c r="G345" s="21" t="s">
        <v>30</v>
      </c>
      <c r="H345" s="21" t="s">
        <v>115</v>
      </c>
      <c r="I345" s="24" t="s">
        <v>109</v>
      </c>
      <c r="J345" s="25">
        <v>45122</v>
      </c>
      <c r="K345" s="25">
        <v>46218</v>
      </c>
      <c r="L345" s="13">
        <f ca="1">DATEDIF(J345, TODAY(), "m")</f>
        <v>32</v>
      </c>
      <c r="M345" s="25"/>
      <c r="Q345" s="12">
        <v>104</v>
      </c>
      <c r="R345" s="21" t="s">
        <v>89</v>
      </c>
    </row>
    <row r="346" spans="1:22" ht="15.75" customHeight="1" x14ac:dyDescent="0.25">
      <c r="A346" s="20" t="s">
        <v>966</v>
      </c>
      <c r="C346" s="22" t="s">
        <v>81</v>
      </c>
      <c r="D346" s="26" t="s">
        <v>956</v>
      </c>
      <c r="E346" s="20" t="s">
        <v>967</v>
      </c>
      <c r="F346" s="20" t="s">
        <v>44</v>
      </c>
      <c r="G346" s="20" t="s">
        <v>30</v>
      </c>
      <c r="H346" s="20" t="s">
        <v>115</v>
      </c>
      <c r="I346" s="24" t="s">
        <v>109</v>
      </c>
      <c r="J346" s="25">
        <v>45122</v>
      </c>
      <c r="K346" s="25">
        <v>46218</v>
      </c>
      <c r="L346" s="13">
        <f ca="1">DATEDIF(J346, TODAY(), "m")</f>
        <v>32</v>
      </c>
      <c r="M346" s="25"/>
      <c r="N346" s="20"/>
      <c r="Q346" s="12">
        <v>104</v>
      </c>
      <c r="R346" s="21" t="s">
        <v>89</v>
      </c>
    </row>
    <row r="347" spans="1:22" ht="15.75" customHeight="1" x14ac:dyDescent="0.25">
      <c r="A347" s="27" t="s">
        <v>968</v>
      </c>
      <c r="C347" s="22" t="s">
        <v>283</v>
      </c>
      <c r="D347" s="23" t="s">
        <v>514</v>
      </c>
      <c r="E347" s="28" t="s">
        <v>969</v>
      </c>
      <c r="F347" s="21">
        <v>2025</v>
      </c>
      <c r="G347" s="21" t="s">
        <v>30</v>
      </c>
      <c r="H347" s="21">
        <v>567</v>
      </c>
      <c r="I347" s="24" t="s">
        <v>109</v>
      </c>
      <c r="J347" s="65">
        <v>45716</v>
      </c>
      <c r="K347" s="65">
        <v>48272</v>
      </c>
      <c r="L347" s="13">
        <f ca="1">DATEDIF(J347, TODAY(), "m")</f>
        <v>13</v>
      </c>
      <c r="M347" s="65"/>
      <c r="N347" s="20" t="s">
        <v>516</v>
      </c>
      <c r="O347" s="21" t="s">
        <v>517</v>
      </c>
      <c r="P347" s="27"/>
      <c r="Q347" s="12">
        <v>104</v>
      </c>
    </row>
    <row r="348" spans="1:22" ht="15.75" customHeight="1" x14ac:dyDescent="0.25">
      <c r="A348" s="27" t="s">
        <v>970</v>
      </c>
      <c r="C348" s="22" t="s">
        <v>81</v>
      </c>
      <c r="D348" s="23" t="s">
        <v>971</v>
      </c>
      <c r="E348" s="36" t="s">
        <v>972</v>
      </c>
      <c r="F348" s="36">
        <v>2026</v>
      </c>
      <c r="H348" s="21">
        <v>567</v>
      </c>
      <c r="I348" s="24"/>
      <c r="J348" s="65"/>
      <c r="K348" s="65"/>
      <c r="L348" s="13">
        <f ca="1">DATEDIF(J348, TODAY(), "m")</f>
        <v>1515</v>
      </c>
      <c r="M348" s="65"/>
      <c r="N348" s="20"/>
      <c r="P348" s="27"/>
      <c r="Q348" s="12">
        <v>104</v>
      </c>
    </row>
    <row r="349" spans="1:22" ht="15.75" customHeight="1" x14ac:dyDescent="0.25">
      <c r="A349" s="21" t="s">
        <v>973</v>
      </c>
      <c r="B349" s="21">
        <v>14</v>
      </c>
      <c r="C349" s="22" t="s">
        <v>81</v>
      </c>
      <c r="D349" s="23" t="s">
        <v>974</v>
      </c>
      <c r="E349" s="36" t="s">
        <v>975</v>
      </c>
      <c r="F349" s="37">
        <v>2026</v>
      </c>
      <c r="G349" s="21" t="s">
        <v>30</v>
      </c>
      <c r="H349" s="21">
        <v>567</v>
      </c>
      <c r="I349" s="24"/>
      <c r="J349" s="25">
        <v>46107</v>
      </c>
      <c r="K349" s="25"/>
      <c r="L349" s="13">
        <f ca="1">DATEDIF(J349, TODAY(), "m")</f>
        <v>0</v>
      </c>
      <c r="M349" s="25"/>
      <c r="Q349" s="12">
        <v>104</v>
      </c>
    </row>
    <row r="350" spans="1:22" ht="15.75" customHeight="1" x14ac:dyDescent="0.25">
      <c r="A350" s="21" t="s">
        <v>976</v>
      </c>
      <c r="C350" s="22" t="s">
        <v>81</v>
      </c>
      <c r="D350" s="23" t="s">
        <v>977</v>
      </c>
      <c r="E350" s="36" t="s">
        <v>978</v>
      </c>
      <c r="F350" s="37">
        <v>2026</v>
      </c>
      <c r="G350" s="21" t="s">
        <v>26</v>
      </c>
      <c r="H350" s="21">
        <v>567</v>
      </c>
      <c r="I350" s="24" t="s">
        <v>979</v>
      </c>
      <c r="J350" s="25">
        <v>46048</v>
      </c>
      <c r="K350" s="25"/>
      <c r="L350" s="13">
        <f ca="1">DATEDIF(J350, TODAY(), "m")</f>
        <v>2</v>
      </c>
      <c r="M350" s="25"/>
      <c r="Q350" s="12">
        <v>104</v>
      </c>
    </row>
    <row r="351" spans="1:22" ht="15.75" customHeight="1" x14ac:dyDescent="0.25">
      <c r="A351" s="21" t="s">
        <v>980</v>
      </c>
      <c r="C351" s="22" t="s">
        <v>81</v>
      </c>
      <c r="D351" s="23" t="s">
        <v>981</v>
      </c>
      <c r="E351" s="72" t="s">
        <v>982</v>
      </c>
      <c r="F351" s="37">
        <v>2026</v>
      </c>
      <c r="H351" s="21">
        <v>589</v>
      </c>
      <c r="I351" s="24"/>
      <c r="J351" s="25"/>
      <c r="K351" s="25"/>
      <c r="L351" s="13"/>
      <c r="M351" s="25"/>
      <c r="Q351" s="12"/>
    </row>
    <row r="352" spans="1:22" ht="15.75" customHeight="1" x14ac:dyDescent="0.25">
      <c r="A352" s="21" t="s">
        <v>983</v>
      </c>
      <c r="C352" s="22" t="s">
        <v>81</v>
      </c>
      <c r="D352" s="23" t="s">
        <v>981</v>
      </c>
      <c r="E352" s="72" t="s">
        <v>984</v>
      </c>
      <c r="F352" s="37">
        <v>2026</v>
      </c>
      <c r="H352" s="21">
        <v>589</v>
      </c>
      <c r="I352" s="24"/>
      <c r="J352" s="25"/>
      <c r="K352" s="25"/>
      <c r="L352" s="13"/>
      <c r="M352" s="25"/>
      <c r="N352" s="21">
        <v>5</v>
      </c>
      <c r="Q352" s="12"/>
    </row>
    <row r="353" spans="1:17" ht="15.75" customHeight="1" x14ac:dyDescent="0.25">
      <c r="A353" s="21" t="s">
        <v>985</v>
      </c>
      <c r="C353" s="22" t="s">
        <v>81</v>
      </c>
      <c r="D353" s="23" t="s">
        <v>981</v>
      </c>
      <c r="E353" s="72" t="s">
        <v>986</v>
      </c>
      <c r="F353" s="37">
        <v>2026</v>
      </c>
      <c r="H353" s="21">
        <v>589</v>
      </c>
      <c r="I353" s="24"/>
      <c r="J353" s="25"/>
      <c r="K353" s="25"/>
      <c r="L353" s="13"/>
      <c r="M353" s="25"/>
      <c r="N353" s="21">
        <v>5</v>
      </c>
      <c r="Q353" s="12"/>
    </row>
    <row r="354" spans="1:17" ht="15.75" customHeight="1" x14ac:dyDescent="0.25">
      <c r="A354" s="21" t="s">
        <v>987</v>
      </c>
      <c r="C354" s="22" t="s">
        <v>81</v>
      </c>
      <c r="D354" s="23" t="s">
        <v>981</v>
      </c>
      <c r="E354" s="72" t="s">
        <v>988</v>
      </c>
      <c r="F354" s="37">
        <v>2026</v>
      </c>
      <c r="H354" s="21">
        <v>589</v>
      </c>
      <c r="I354" s="24"/>
      <c r="J354" s="25"/>
      <c r="K354" s="25"/>
      <c r="L354" s="13"/>
      <c r="M354" s="25"/>
      <c r="N354" s="21">
        <v>5</v>
      </c>
      <c r="Q354" s="12"/>
    </row>
    <row r="355" spans="1:17" ht="15.75" customHeight="1" x14ac:dyDescent="0.25">
      <c r="A355" s="21" t="s">
        <v>989</v>
      </c>
      <c r="C355" s="22" t="s">
        <v>81</v>
      </c>
      <c r="D355" s="23" t="s">
        <v>981</v>
      </c>
      <c r="E355" s="72" t="s">
        <v>990</v>
      </c>
      <c r="F355" s="37">
        <v>2026</v>
      </c>
      <c r="H355" s="21">
        <v>589</v>
      </c>
      <c r="I355" s="24"/>
      <c r="J355" s="25"/>
      <c r="K355" s="25"/>
      <c r="L355" s="13"/>
      <c r="M355" s="25"/>
      <c r="N355" s="21">
        <v>5</v>
      </c>
      <c r="Q355" s="12"/>
    </row>
    <row r="356" spans="1:17" ht="15.75" customHeight="1" x14ac:dyDescent="0.25">
      <c r="A356" s="21" t="s">
        <v>991</v>
      </c>
      <c r="C356" s="22" t="s">
        <v>81</v>
      </c>
      <c r="D356" s="23" t="s">
        <v>981</v>
      </c>
      <c r="E356" s="73" t="s">
        <v>992</v>
      </c>
      <c r="F356" s="37">
        <v>2026</v>
      </c>
      <c r="H356" s="21">
        <v>589</v>
      </c>
      <c r="I356" s="24"/>
      <c r="J356" s="25"/>
      <c r="K356" s="25"/>
      <c r="L356" s="13"/>
      <c r="M356" s="25"/>
      <c r="N356" s="21">
        <v>5</v>
      </c>
      <c r="Q356" s="12"/>
    </row>
    <row r="357" spans="1:17" ht="15.75" customHeight="1" x14ac:dyDescent="0.25">
      <c r="A357" s="21" t="s">
        <v>993</v>
      </c>
      <c r="C357" s="22" t="s">
        <v>81</v>
      </c>
      <c r="D357" s="23" t="s">
        <v>981</v>
      </c>
      <c r="E357" s="73" t="s">
        <v>994</v>
      </c>
      <c r="F357" s="37">
        <v>2026</v>
      </c>
      <c r="H357" s="21">
        <v>589</v>
      </c>
      <c r="I357" s="24"/>
      <c r="J357" s="25"/>
      <c r="K357" s="25"/>
      <c r="L357" s="13"/>
      <c r="M357" s="25"/>
      <c r="N357" s="21">
        <v>5</v>
      </c>
      <c r="Q357" s="12"/>
    </row>
    <row r="358" spans="1:17" ht="15.75" customHeight="1" x14ac:dyDescent="0.25">
      <c r="A358" s="21" t="s">
        <v>995</v>
      </c>
      <c r="C358" s="22" t="s">
        <v>81</v>
      </c>
      <c r="D358" s="23" t="s">
        <v>981</v>
      </c>
      <c r="E358" s="73" t="s">
        <v>996</v>
      </c>
      <c r="F358" s="37">
        <v>2026</v>
      </c>
      <c r="H358" s="21">
        <v>589</v>
      </c>
      <c r="I358" s="24"/>
      <c r="J358" s="25"/>
      <c r="K358" s="25"/>
      <c r="L358" s="13"/>
      <c r="M358" s="25"/>
      <c r="N358" s="21">
        <v>5</v>
      </c>
      <c r="Q358" s="12"/>
    </row>
    <row r="359" spans="1:17" ht="15.75" customHeight="1" x14ac:dyDescent="0.25">
      <c r="A359" s="21" t="s">
        <v>997</v>
      </c>
      <c r="C359" s="22" t="s">
        <v>81</v>
      </c>
      <c r="D359" s="23" t="s">
        <v>981</v>
      </c>
      <c r="E359" s="73" t="s">
        <v>998</v>
      </c>
      <c r="F359" s="37">
        <v>2026</v>
      </c>
      <c r="H359" s="21">
        <v>589</v>
      </c>
      <c r="I359" s="24"/>
      <c r="J359" s="25"/>
      <c r="K359" s="25"/>
      <c r="L359" s="13"/>
      <c r="M359" s="25"/>
      <c r="N359" s="21">
        <v>5</v>
      </c>
      <c r="Q359" s="12"/>
    </row>
    <row r="360" spans="1:17" ht="15.75" customHeight="1" x14ac:dyDescent="0.25">
      <c r="A360" s="21" t="s">
        <v>999</v>
      </c>
      <c r="C360" s="22" t="s">
        <v>81</v>
      </c>
      <c r="D360" s="23" t="s">
        <v>981</v>
      </c>
      <c r="E360" s="73" t="s">
        <v>1000</v>
      </c>
      <c r="F360" s="37">
        <v>2026</v>
      </c>
      <c r="H360" s="21">
        <v>589</v>
      </c>
      <c r="I360" s="24"/>
      <c r="J360" s="25"/>
      <c r="K360" s="25"/>
      <c r="L360" s="13"/>
      <c r="M360" s="25"/>
      <c r="N360" s="21">
        <v>5</v>
      </c>
      <c r="Q360" s="12"/>
    </row>
    <row r="361" spans="1:17" ht="15.75" customHeight="1" x14ac:dyDescent="0.25">
      <c r="A361" s="21" t="s">
        <v>1001</v>
      </c>
      <c r="C361" s="22" t="s">
        <v>81</v>
      </c>
      <c r="D361" s="23" t="s">
        <v>981</v>
      </c>
      <c r="E361" s="74" t="s">
        <v>1002</v>
      </c>
      <c r="F361" s="37">
        <v>2026</v>
      </c>
      <c r="H361" s="21">
        <v>589</v>
      </c>
      <c r="I361" s="24"/>
      <c r="J361" s="25"/>
      <c r="K361" s="25"/>
      <c r="L361" s="13"/>
      <c r="M361" s="25"/>
      <c r="N361" s="21">
        <v>5</v>
      </c>
      <c r="Q361" s="12"/>
    </row>
    <row r="362" spans="1:17" ht="15.75" customHeight="1" x14ac:dyDescent="0.25">
      <c r="A362" s="21" t="s">
        <v>1003</v>
      </c>
      <c r="C362" s="22" t="s">
        <v>81</v>
      </c>
      <c r="D362" s="23" t="s">
        <v>981</v>
      </c>
      <c r="E362" s="73" t="s">
        <v>1004</v>
      </c>
      <c r="F362" s="37">
        <v>2026</v>
      </c>
      <c r="H362" s="21">
        <v>589</v>
      </c>
      <c r="I362" s="24"/>
      <c r="J362" s="25"/>
      <c r="K362" s="25"/>
      <c r="L362" s="13"/>
      <c r="M362" s="25"/>
      <c r="N362" s="21">
        <v>5</v>
      </c>
      <c r="Q362" s="12"/>
    </row>
    <row r="363" spans="1:17" ht="15.75" customHeight="1" x14ac:dyDescent="0.25">
      <c r="A363" s="21" t="s">
        <v>1005</v>
      </c>
      <c r="C363" s="22" t="s">
        <v>81</v>
      </c>
      <c r="D363" s="23" t="s">
        <v>981</v>
      </c>
      <c r="E363" s="75" t="s">
        <v>1006</v>
      </c>
      <c r="F363" s="37">
        <v>2026</v>
      </c>
      <c r="H363" s="21">
        <v>589</v>
      </c>
      <c r="I363" s="24"/>
      <c r="J363" s="25"/>
      <c r="K363" s="25"/>
      <c r="L363" s="13"/>
      <c r="M363" s="25"/>
      <c r="N363" s="21">
        <v>5</v>
      </c>
      <c r="Q363" s="12"/>
    </row>
    <row r="364" spans="1:17" ht="15.75" customHeight="1" x14ac:dyDescent="0.25">
      <c r="A364" s="21" t="s">
        <v>1007</v>
      </c>
      <c r="C364" s="22" t="s">
        <v>81</v>
      </c>
      <c r="D364" s="23" t="s">
        <v>981</v>
      </c>
      <c r="E364" s="73" t="s">
        <v>1008</v>
      </c>
      <c r="F364" s="37">
        <v>2026</v>
      </c>
      <c r="H364" s="21">
        <v>589</v>
      </c>
      <c r="I364" s="24"/>
      <c r="J364" s="25"/>
      <c r="K364" s="25"/>
      <c r="L364" s="13"/>
      <c r="M364" s="25"/>
      <c r="N364" s="21">
        <v>5</v>
      </c>
      <c r="Q364" s="12"/>
    </row>
    <row r="365" spans="1:17" ht="15.75" customHeight="1" x14ac:dyDescent="0.25">
      <c r="A365" s="21" t="s">
        <v>1009</v>
      </c>
      <c r="C365" s="22" t="s">
        <v>81</v>
      </c>
      <c r="D365" s="23" t="s">
        <v>981</v>
      </c>
      <c r="E365" s="73" t="s">
        <v>1010</v>
      </c>
      <c r="F365" s="37">
        <v>2026</v>
      </c>
      <c r="H365" s="21">
        <v>589</v>
      </c>
      <c r="I365" s="24"/>
      <c r="J365" s="25"/>
      <c r="K365" s="25"/>
      <c r="L365" s="13"/>
      <c r="M365" s="25"/>
      <c r="N365" s="21">
        <v>5</v>
      </c>
      <c r="Q365" s="12"/>
    </row>
    <row r="366" spans="1:17" ht="15.75" customHeight="1" x14ac:dyDescent="0.25">
      <c r="A366" s="21" t="s">
        <v>1011</v>
      </c>
      <c r="C366" s="22" t="s">
        <v>81</v>
      </c>
      <c r="D366" s="23" t="s">
        <v>981</v>
      </c>
      <c r="E366" s="73" t="s">
        <v>1012</v>
      </c>
      <c r="F366" s="37">
        <v>2026</v>
      </c>
      <c r="H366" s="21">
        <v>589</v>
      </c>
      <c r="I366" s="24"/>
      <c r="J366" s="25"/>
      <c r="K366" s="25"/>
      <c r="L366" s="13"/>
      <c r="M366" s="25"/>
      <c r="N366" s="21">
        <v>4</v>
      </c>
      <c r="Q366" s="12"/>
    </row>
    <row r="367" spans="1:17" ht="15.75" customHeight="1" x14ac:dyDescent="0.25">
      <c r="A367" s="21" t="s">
        <v>1013</v>
      </c>
      <c r="C367" s="22" t="s">
        <v>81</v>
      </c>
      <c r="D367" s="23" t="s">
        <v>981</v>
      </c>
      <c r="E367" s="73" t="s">
        <v>1014</v>
      </c>
      <c r="F367" s="37">
        <v>2026</v>
      </c>
      <c r="H367" s="21">
        <v>589</v>
      </c>
      <c r="I367" s="24"/>
      <c r="J367" s="25"/>
      <c r="K367" s="25"/>
      <c r="L367" s="13"/>
      <c r="M367" s="25"/>
      <c r="N367" s="21">
        <v>4</v>
      </c>
      <c r="Q367" s="12"/>
    </row>
    <row r="368" spans="1:17" ht="15.75" customHeight="1" x14ac:dyDescent="0.25">
      <c r="A368" s="21" t="s">
        <v>1015</v>
      </c>
      <c r="C368" s="22" t="s">
        <v>81</v>
      </c>
      <c r="D368" s="23" t="s">
        <v>981</v>
      </c>
      <c r="E368" s="73" t="s">
        <v>1016</v>
      </c>
      <c r="F368" s="37">
        <v>2026</v>
      </c>
      <c r="H368" s="21">
        <v>589</v>
      </c>
      <c r="I368" s="24"/>
      <c r="J368" s="25"/>
      <c r="K368" s="25"/>
      <c r="L368" s="13"/>
      <c r="M368" s="25"/>
      <c r="N368" s="21">
        <v>4</v>
      </c>
      <c r="Q368" s="12"/>
    </row>
    <row r="369" spans="1:21" ht="15.75" customHeight="1" x14ac:dyDescent="0.25">
      <c r="A369" s="21" t="s">
        <v>1017</v>
      </c>
      <c r="C369" s="22" t="s">
        <v>81</v>
      </c>
      <c r="D369" s="23" t="s">
        <v>981</v>
      </c>
      <c r="E369" s="73" t="s">
        <v>1018</v>
      </c>
      <c r="F369" s="37">
        <v>2026</v>
      </c>
      <c r="H369" s="21">
        <v>589</v>
      </c>
      <c r="I369" s="24"/>
      <c r="J369" s="25"/>
      <c r="K369" s="25"/>
      <c r="L369" s="13"/>
      <c r="M369" s="25"/>
      <c r="N369" s="21">
        <v>4</v>
      </c>
      <c r="Q369" s="12"/>
    </row>
    <row r="370" spans="1:21" ht="15.75" customHeight="1" x14ac:dyDescent="0.25">
      <c r="A370" s="21" t="s">
        <v>1019</v>
      </c>
      <c r="C370" s="22" t="s">
        <v>81</v>
      </c>
      <c r="D370" s="23" t="s">
        <v>981</v>
      </c>
      <c r="E370" s="73" t="s">
        <v>1020</v>
      </c>
      <c r="F370" s="37">
        <v>2026</v>
      </c>
      <c r="H370" s="21">
        <v>589</v>
      </c>
      <c r="I370" s="24"/>
      <c r="J370" s="25"/>
      <c r="K370" s="25"/>
      <c r="L370" s="13"/>
      <c r="M370" s="25"/>
      <c r="N370" s="21">
        <v>4</v>
      </c>
      <c r="Q370" s="12"/>
    </row>
    <row r="371" spans="1:21" ht="15.75" customHeight="1" x14ac:dyDescent="0.25">
      <c r="A371" s="21" t="s">
        <v>1021</v>
      </c>
      <c r="C371" s="22" t="s">
        <v>81</v>
      </c>
      <c r="D371" s="23" t="s">
        <v>1022</v>
      </c>
      <c r="E371" s="36"/>
      <c r="F371" s="37">
        <v>2027</v>
      </c>
      <c r="G371" s="21" t="s">
        <v>26</v>
      </c>
      <c r="H371" s="21">
        <v>567</v>
      </c>
      <c r="I371" s="24"/>
      <c r="J371" s="25"/>
      <c r="K371" s="25"/>
      <c r="L371" s="13">
        <f ca="1">DATEDIF(J371, TODAY(), "m")</f>
        <v>1515</v>
      </c>
      <c r="M371" s="25"/>
      <c r="N371" s="21" t="s">
        <v>369</v>
      </c>
      <c r="Q371" s="12">
        <v>104</v>
      </c>
    </row>
    <row r="372" spans="1:21" ht="15.75" customHeight="1" x14ac:dyDescent="0.25">
      <c r="A372" s="21" t="s">
        <v>1023</v>
      </c>
      <c r="C372" s="22" t="s">
        <v>81</v>
      </c>
      <c r="D372" s="23" t="s">
        <v>1022</v>
      </c>
      <c r="E372" s="36"/>
      <c r="F372" s="37">
        <v>2027</v>
      </c>
      <c r="G372" s="21" t="s">
        <v>26</v>
      </c>
      <c r="H372" s="21">
        <v>567</v>
      </c>
      <c r="I372" s="24"/>
      <c r="J372" s="25"/>
      <c r="K372" s="25"/>
      <c r="L372" s="13">
        <f ca="1">DATEDIF(J372, TODAY(), "m")</f>
        <v>1515</v>
      </c>
      <c r="M372" s="25"/>
      <c r="N372" s="21" t="s">
        <v>369</v>
      </c>
      <c r="Q372" s="12">
        <v>104</v>
      </c>
    </row>
    <row r="373" spans="1:21" ht="15.75" customHeight="1" x14ac:dyDescent="0.25">
      <c r="A373" s="21" t="s">
        <v>1024</v>
      </c>
      <c r="C373" s="22" t="s">
        <v>81</v>
      </c>
      <c r="D373" s="23" t="s">
        <v>1022</v>
      </c>
      <c r="E373" s="36"/>
      <c r="F373" s="37">
        <v>2027</v>
      </c>
      <c r="G373" s="21" t="s">
        <v>26</v>
      </c>
      <c r="H373" s="21">
        <v>567</v>
      </c>
      <c r="I373" s="24"/>
      <c r="J373" s="25"/>
      <c r="K373" s="25"/>
      <c r="L373" s="13">
        <f ca="1">DATEDIF(J373, TODAY(), "m")</f>
        <v>1515</v>
      </c>
      <c r="M373" s="25"/>
      <c r="N373" s="21" t="s">
        <v>369</v>
      </c>
      <c r="Q373" s="12">
        <v>104</v>
      </c>
    </row>
    <row r="374" spans="1:21" ht="15.75" customHeight="1" x14ac:dyDescent="0.25">
      <c r="A374" s="20" t="s">
        <v>1025</v>
      </c>
      <c r="C374" s="22" t="s">
        <v>283</v>
      </c>
      <c r="D374" s="26" t="s">
        <v>1026</v>
      </c>
      <c r="E374" s="20" t="s">
        <v>1027</v>
      </c>
      <c r="F374" s="20" t="s">
        <v>487</v>
      </c>
      <c r="G374" s="20" t="s">
        <v>30</v>
      </c>
      <c r="H374" s="20" t="s">
        <v>31</v>
      </c>
      <c r="I374" s="24" t="s">
        <v>109</v>
      </c>
      <c r="K374" s="38">
        <v>45869</v>
      </c>
      <c r="L374" s="13">
        <f ca="1">DATEDIF(J374, TODAY(), "m")</f>
        <v>1515</v>
      </c>
      <c r="M374" s="38"/>
      <c r="N374" s="20"/>
      <c r="P374" s="21" t="s">
        <v>1028</v>
      </c>
      <c r="Q374" s="12">
        <v>104</v>
      </c>
    </row>
    <row r="375" spans="1:21" ht="15.75" customHeight="1" x14ac:dyDescent="0.25">
      <c r="A375" s="15" t="s">
        <v>1029</v>
      </c>
      <c r="B375" s="15"/>
      <c r="C375" s="22" t="s">
        <v>81</v>
      </c>
      <c r="D375" s="17" t="s">
        <v>558</v>
      </c>
      <c r="E375" s="15" t="s">
        <v>1030</v>
      </c>
      <c r="F375" s="15" t="s">
        <v>29</v>
      </c>
      <c r="G375" s="15" t="s">
        <v>30</v>
      </c>
      <c r="H375" s="15" t="s">
        <v>115</v>
      </c>
      <c r="I375" s="15" t="s">
        <v>171</v>
      </c>
      <c r="J375" s="29">
        <v>43739</v>
      </c>
      <c r="K375" s="29">
        <v>45931</v>
      </c>
      <c r="L375" s="13">
        <f ca="1">DATEDIF(J375, TODAY(), "m")</f>
        <v>78</v>
      </c>
      <c r="M375" s="29"/>
      <c r="N375" s="15"/>
      <c r="O375" s="15" t="s">
        <v>1031</v>
      </c>
      <c r="P375" s="15"/>
      <c r="Q375" s="12">
        <v>104</v>
      </c>
      <c r="R375" s="15" t="s">
        <v>89</v>
      </c>
      <c r="S375" s="15" t="s">
        <v>88</v>
      </c>
      <c r="T375" s="15"/>
      <c r="U375" s="15"/>
    </row>
    <row r="376" spans="1:21" ht="15.75" customHeight="1" x14ac:dyDescent="0.25">
      <c r="A376" s="20" t="s">
        <v>1032</v>
      </c>
      <c r="C376" s="22" t="s">
        <v>81</v>
      </c>
      <c r="D376" s="26" t="s">
        <v>837</v>
      </c>
      <c r="E376" s="20" t="s">
        <v>1033</v>
      </c>
      <c r="F376" s="20" t="s">
        <v>205</v>
      </c>
      <c r="G376" s="20" t="s">
        <v>30</v>
      </c>
      <c r="H376" s="20" t="s">
        <v>108</v>
      </c>
      <c r="I376" s="24" t="s">
        <v>109</v>
      </c>
      <c r="J376" s="25">
        <v>44926</v>
      </c>
      <c r="K376" s="25">
        <v>47483</v>
      </c>
      <c r="L376" s="13">
        <f ca="1">DATEDIF(J376, TODAY(), "m")</f>
        <v>39</v>
      </c>
      <c r="M376" s="25"/>
      <c r="N376" s="20"/>
      <c r="Q376" s="12">
        <v>104</v>
      </c>
      <c r="R376" s="21" t="s">
        <v>595</v>
      </c>
    </row>
    <row r="377" spans="1:21" ht="15.75" customHeight="1" x14ac:dyDescent="0.25">
      <c r="A377" s="21" t="s">
        <v>1034</v>
      </c>
      <c r="C377" s="22" t="s">
        <v>81</v>
      </c>
      <c r="D377" s="23" t="s">
        <v>837</v>
      </c>
      <c r="E377" s="21" t="s">
        <v>1035</v>
      </c>
      <c r="F377" s="21" t="s">
        <v>205</v>
      </c>
      <c r="G377" s="21" t="s">
        <v>30</v>
      </c>
      <c r="H377" s="21" t="s">
        <v>108</v>
      </c>
      <c r="I377" s="24" t="s">
        <v>109</v>
      </c>
      <c r="J377" s="25">
        <v>44926</v>
      </c>
      <c r="K377" s="25">
        <v>47483</v>
      </c>
      <c r="L377" s="13">
        <f ca="1">DATEDIF(J377, TODAY(), "m")</f>
        <v>39</v>
      </c>
      <c r="M377" s="25"/>
      <c r="Q377" s="12">
        <v>104</v>
      </c>
      <c r="R377" s="21" t="s">
        <v>595</v>
      </c>
    </row>
    <row r="378" spans="1:21" ht="15.75" customHeight="1" x14ac:dyDescent="0.25">
      <c r="A378" s="20" t="s">
        <v>1036</v>
      </c>
      <c r="C378" s="22" t="s">
        <v>81</v>
      </c>
      <c r="D378" s="26" t="s">
        <v>837</v>
      </c>
      <c r="E378" s="20" t="s">
        <v>1037</v>
      </c>
      <c r="F378" s="20" t="s">
        <v>205</v>
      </c>
      <c r="G378" s="20" t="s">
        <v>30</v>
      </c>
      <c r="H378" s="20" t="s">
        <v>108</v>
      </c>
      <c r="I378" s="24" t="s">
        <v>109</v>
      </c>
      <c r="J378" s="25">
        <v>44926</v>
      </c>
      <c r="K378" s="25">
        <v>47483</v>
      </c>
      <c r="L378" s="13">
        <f ca="1">DATEDIF(J378, TODAY(), "m")</f>
        <v>39</v>
      </c>
      <c r="M378" s="25"/>
      <c r="Q378" s="12">
        <v>104</v>
      </c>
      <c r="R378" s="21" t="s">
        <v>595</v>
      </c>
    </row>
    <row r="379" spans="1:21" ht="15.75" customHeight="1" x14ac:dyDescent="0.25">
      <c r="A379" s="21" t="s">
        <v>1038</v>
      </c>
      <c r="C379" s="61" t="s">
        <v>81</v>
      </c>
      <c r="D379" s="23" t="s">
        <v>837</v>
      </c>
      <c r="E379" s="21" t="s">
        <v>1039</v>
      </c>
      <c r="F379" s="21" t="s">
        <v>205</v>
      </c>
      <c r="G379" s="21" t="s">
        <v>30</v>
      </c>
      <c r="H379" s="21" t="s">
        <v>1040</v>
      </c>
      <c r="I379" s="24" t="s">
        <v>109</v>
      </c>
      <c r="J379" s="25">
        <v>44926</v>
      </c>
      <c r="K379" s="25">
        <v>47483</v>
      </c>
      <c r="L379" s="13">
        <f ca="1">DATEDIF(J379, TODAY(), "m")</f>
        <v>39</v>
      </c>
      <c r="M379" s="25"/>
      <c r="Q379" s="12">
        <v>104</v>
      </c>
      <c r="R379" s="21" t="s">
        <v>595</v>
      </c>
    </row>
    <row r="380" spans="1:21" ht="15.75" customHeight="1" x14ac:dyDescent="0.25">
      <c r="A380" s="20" t="s">
        <v>1041</v>
      </c>
      <c r="C380" s="22" t="s">
        <v>81</v>
      </c>
      <c r="D380" s="26" t="s">
        <v>837</v>
      </c>
      <c r="E380" s="20" t="s">
        <v>1042</v>
      </c>
      <c r="F380" s="20" t="s">
        <v>327</v>
      </c>
      <c r="G380" s="20" t="s">
        <v>30</v>
      </c>
      <c r="H380" s="20" t="s">
        <v>31</v>
      </c>
      <c r="I380" s="24" t="s">
        <v>109</v>
      </c>
      <c r="J380" s="25">
        <v>44680</v>
      </c>
      <c r="K380" s="25">
        <v>46872</v>
      </c>
      <c r="L380" s="13">
        <f ca="1">DATEDIF(J380, TODAY(), "m")</f>
        <v>47</v>
      </c>
      <c r="M380" s="25"/>
      <c r="Q380" s="12">
        <v>104</v>
      </c>
      <c r="R380" s="21" t="s">
        <v>595</v>
      </c>
    </row>
    <row r="381" spans="1:21" ht="15.75" customHeight="1" x14ac:dyDescent="0.25">
      <c r="A381" s="21" t="s">
        <v>1043</v>
      </c>
      <c r="C381" s="22" t="s">
        <v>81</v>
      </c>
      <c r="D381" s="23" t="s">
        <v>1044</v>
      </c>
      <c r="E381" s="21" t="s">
        <v>1045</v>
      </c>
      <c r="F381" s="21" t="s">
        <v>327</v>
      </c>
      <c r="G381" s="21" t="s">
        <v>30</v>
      </c>
      <c r="H381" s="21" t="s">
        <v>100</v>
      </c>
      <c r="I381" s="50" t="s">
        <v>547</v>
      </c>
      <c r="L381" s="13">
        <f ca="1">DATEDIF(J381, TODAY(), "m")</f>
        <v>1515</v>
      </c>
      <c r="P381" s="21" t="s">
        <v>1046</v>
      </c>
      <c r="Q381" s="12">
        <v>104</v>
      </c>
      <c r="R381" s="27"/>
      <c r="S381" s="27"/>
      <c r="T381" s="27"/>
      <c r="U381" s="27"/>
    </row>
    <row r="382" spans="1:21" ht="15.75" customHeight="1" x14ac:dyDescent="0.25">
      <c r="A382" s="20" t="s">
        <v>1047</v>
      </c>
      <c r="C382" s="22" t="s">
        <v>81</v>
      </c>
      <c r="D382" s="26" t="s">
        <v>598</v>
      </c>
      <c r="E382" s="20" t="s">
        <v>1048</v>
      </c>
      <c r="F382" s="20" t="s">
        <v>205</v>
      </c>
      <c r="G382" s="20" t="s">
        <v>30</v>
      </c>
      <c r="H382" s="20" t="s">
        <v>31</v>
      </c>
      <c r="I382" s="24" t="s">
        <v>171</v>
      </c>
      <c r="J382" s="25">
        <v>44839</v>
      </c>
      <c r="K382" s="25">
        <v>47031</v>
      </c>
      <c r="L382" s="13">
        <f ca="1">DATEDIF(J382, TODAY(), "m")</f>
        <v>41</v>
      </c>
      <c r="M382" s="25"/>
      <c r="N382" s="20"/>
      <c r="Q382" s="12">
        <v>104</v>
      </c>
      <c r="R382" s="21" t="s">
        <v>89</v>
      </c>
    </row>
    <row r="383" spans="1:21" ht="15.75" customHeight="1" x14ac:dyDescent="0.25">
      <c r="A383" s="21" t="s">
        <v>1049</v>
      </c>
      <c r="C383" s="22" t="s">
        <v>81</v>
      </c>
      <c r="D383" s="23" t="s">
        <v>598</v>
      </c>
      <c r="E383" s="21" t="s">
        <v>1050</v>
      </c>
      <c r="F383" s="21" t="s">
        <v>205</v>
      </c>
      <c r="G383" s="21" t="s">
        <v>30</v>
      </c>
      <c r="H383" s="21" t="s">
        <v>108</v>
      </c>
      <c r="I383" s="24" t="s">
        <v>109</v>
      </c>
      <c r="J383" s="25">
        <v>44974</v>
      </c>
      <c r="K383" s="25">
        <v>47531</v>
      </c>
      <c r="L383" s="13">
        <f ca="1">DATEDIF(J383, TODAY(), "m")</f>
        <v>37</v>
      </c>
      <c r="M383" s="25"/>
      <c r="Q383" s="12">
        <v>104</v>
      </c>
      <c r="R383" s="21" t="s">
        <v>89</v>
      </c>
    </row>
    <row r="384" spans="1:21" ht="15.75" customHeight="1" x14ac:dyDescent="0.25">
      <c r="A384" s="20" t="s">
        <v>1051</v>
      </c>
      <c r="C384" s="22" t="s">
        <v>81</v>
      </c>
      <c r="D384" s="26" t="s">
        <v>837</v>
      </c>
      <c r="E384" s="20" t="s">
        <v>1052</v>
      </c>
      <c r="F384" s="20" t="s">
        <v>44</v>
      </c>
      <c r="G384" s="20" t="s">
        <v>30</v>
      </c>
      <c r="H384" s="20" t="s">
        <v>85</v>
      </c>
      <c r="I384" s="24" t="s">
        <v>109</v>
      </c>
      <c r="J384" s="25">
        <v>45245</v>
      </c>
      <c r="K384" s="25">
        <v>47894</v>
      </c>
      <c r="L384" s="13">
        <f ca="1">DATEDIF(J384, TODAY(), "m")</f>
        <v>28</v>
      </c>
      <c r="M384" s="25"/>
      <c r="Q384" s="12">
        <v>104</v>
      </c>
      <c r="R384" s="21" t="s">
        <v>595</v>
      </c>
    </row>
    <row r="385" spans="1:21" ht="15.75" customHeight="1" x14ac:dyDescent="0.25">
      <c r="A385" s="21" t="s">
        <v>1053</v>
      </c>
      <c r="C385" s="22" t="s">
        <v>81</v>
      </c>
      <c r="D385" s="26" t="s">
        <v>837</v>
      </c>
      <c r="E385" s="21" t="s">
        <v>1054</v>
      </c>
      <c r="F385" s="21" t="s">
        <v>44</v>
      </c>
      <c r="G385" s="21" t="s">
        <v>30</v>
      </c>
      <c r="H385" s="21" t="s">
        <v>85</v>
      </c>
      <c r="I385" s="24" t="s">
        <v>109</v>
      </c>
      <c r="J385" s="25">
        <v>45245</v>
      </c>
      <c r="K385" s="25">
        <v>47894</v>
      </c>
      <c r="L385" s="13">
        <f ca="1">DATEDIF(J385, TODAY(), "m")</f>
        <v>28</v>
      </c>
      <c r="M385" s="25"/>
      <c r="Q385" s="12">
        <v>104</v>
      </c>
      <c r="R385" s="21" t="s">
        <v>595</v>
      </c>
    </row>
    <row r="386" spans="1:21" ht="15.75" customHeight="1" x14ac:dyDescent="0.25">
      <c r="A386" s="20" t="s">
        <v>1055</v>
      </c>
      <c r="C386" s="22" t="s">
        <v>81</v>
      </c>
      <c r="D386" s="26" t="s">
        <v>837</v>
      </c>
      <c r="E386" s="20" t="s">
        <v>1056</v>
      </c>
      <c r="F386" s="20" t="s">
        <v>44</v>
      </c>
      <c r="G386" s="20" t="s">
        <v>30</v>
      </c>
      <c r="H386" s="20" t="s">
        <v>85</v>
      </c>
      <c r="I386" s="24" t="s">
        <v>109</v>
      </c>
      <c r="J386" s="25">
        <v>45245</v>
      </c>
      <c r="K386" s="25">
        <v>47894</v>
      </c>
      <c r="L386" s="13">
        <f ca="1">DATEDIF(J386, TODAY(), "m")</f>
        <v>28</v>
      </c>
      <c r="M386" s="25"/>
      <c r="Q386" s="12">
        <v>104</v>
      </c>
      <c r="R386" s="21" t="s">
        <v>595</v>
      </c>
    </row>
    <row r="387" spans="1:21" ht="15.75" customHeight="1" x14ac:dyDescent="0.25">
      <c r="A387" s="21" t="s">
        <v>1057</v>
      </c>
      <c r="C387" s="22" t="s">
        <v>81</v>
      </c>
      <c r="D387" s="23" t="s">
        <v>837</v>
      </c>
      <c r="E387" s="21" t="s">
        <v>1058</v>
      </c>
      <c r="F387" s="21" t="s">
        <v>44</v>
      </c>
      <c r="G387" s="21" t="s">
        <v>30</v>
      </c>
      <c r="H387" s="21" t="s">
        <v>85</v>
      </c>
      <c r="I387" s="24" t="s">
        <v>109</v>
      </c>
      <c r="J387" s="25">
        <v>45245</v>
      </c>
      <c r="K387" s="25">
        <v>47894</v>
      </c>
      <c r="L387" s="13">
        <f ca="1">DATEDIF(J387, TODAY(), "m")</f>
        <v>28</v>
      </c>
      <c r="M387" s="25"/>
      <c r="Q387" s="12">
        <v>104</v>
      </c>
      <c r="R387" s="21" t="s">
        <v>595</v>
      </c>
    </row>
    <row r="388" spans="1:21" ht="15.75" customHeight="1" x14ac:dyDescent="0.25">
      <c r="A388" s="15" t="s">
        <v>1059</v>
      </c>
      <c r="B388" s="15">
        <v>579</v>
      </c>
      <c r="C388" s="16"/>
      <c r="D388" s="47" t="s">
        <v>1060</v>
      </c>
      <c r="E388" s="48" t="s">
        <v>1061</v>
      </c>
      <c r="F388" s="48" t="s">
        <v>44</v>
      </c>
      <c r="G388" s="48" t="s">
        <v>30</v>
      </c>
      <c r="H388" s="48" t="s">
        <v>31</v>
      </c>
      <c r="I388" s="15" t="s">
        <v>171</v>
      </c>
      <c r="J388" s="15"/>
      <c r="K388" s="15"/>
      <c r="L388" s="15"/>
      <c r="M388" s="15"/>
      <c r="N388" s="48"/>
      <c r="O388" s="15" t="s">
        <v>338</v>
      </c>
      <c r="P388" s="15" t="s">
        <v>1062</v>
      </c>
      <c r="Q388" s="12">
        <v>104</v>
      </c>
      <c r="R388" s="15"/>
      <c r="S388" s="15"/>
      <c r="T388" s="15"/>
      <c r="U388" s="15"/>
    </row>
    <row r="389" spans="1:21" ht="15.75" customHeight="1" x14ac:dyDescent="0.25">
      <c r="A389" s="15" t="s">
        <v>1063</v>
      </c>
      <c r="B389" s="15">
        <v>5792</v>
      </c>
      <c r="C389" s="16"/>
      <c r="D389" s="47" t="s">
        <v>1060</v>
      </c>
      <c r="E389" s="48" t="s">
        <v>1064</v>
      </c>
      <c r="F389" s="48" t="s">
        <v>44</v>
      </c>
      <c r="G389" s="48" t="s">
        <v>30</v>
      </c>
      <c r="H389" s="48" t="s">
        <v>31</v>
      </c>
      <c r="I389" s="15" t="s">
        <v>171</v>
      </c>
      <c r="J389" s="15"/>
      <c r="K389" s="15"/>
      <c r="L389" s="15"/>
      <c r="M389" s="15"/>
      <c r="N389" s="48"/>
      <c r="O389" s="15" t="s">
        <v>338</v>
      </c>
      <c r="P389" s="15" t="s">
        <v>1065</v>
      </c>
      <c r="Q389" s="12">
        <v>104</v>
      </c>
      <c r="R389" s="15"/>
      <c r="S389" s="15"/>
      <c r="T389" s="15"/>
      <c r="U389" s="15"/>
    </row>
    <row r="390" spans="1:21" ht="15.75" customHeight="1" x14ac:dyDescent="0.25">
      <c r="A390" s="15" t="s">
        <v>1066</v>
      </c>
      <c r="B390" s="15">
        <v>5793</v>
      </c>
      <c r="C390" s="16"/>
      <c r="D390" s="47" t="s">
        <v>1060</v>
      </c>
      <c r="E390" s="48" t="s">
        <v>1067</v>
      </c>
      <c r="F390" s="48" t="s">
        <v>44</v>
      </c>
      <c r="G390" s="48" t="s">
        <v>30</v>
      </c>
      <c r="H390" s="48" t="s">
        <v>31</v>
      </c>
      <c r="I390" s="15" t="s">
        <v>171</v>
      </c>
      <c r="J390" s="15"/>
      <c r="K390" s="15"/>
      <c r="L390" s="15"/>
      <c r="M390" s="15"/>
      <c r="N390" s="48"/>
      <c r="O390" s="15" t="s">
        <v>338</v>
      </c>
      <c r="P390" s="15" t="s">
        <v>1068</v>
      </c>
      <c r="Q390" s="12">
        <v>104</v>
      </c>
      <c r="R390" s="15"/>
      <c r="S390" s="15"/>
      <c r="T390" s="15"/>
      <c r="U390" s="15"/>
    </row>
    <row r="391" spans="1:21" ht="15.75" customHeight="1" x14ac:dyDescent="0.25">
      <c r="A391" s="15" t="s">
        <v>1069</v>
      </c>
      <c r="B391" s="15">
        <v>5794</v>
      </c>
      <c r="C391" s="16"/>
      <c r="D391" s="47" t="s">
        <v>1060</v>
      </c>
      <c r="E391" s="18" t="s">
        <v>1070</v>
      </c>
      <c r="F391" s="15">
        <v>2024</v>
      </c>
      <c r="G391" s="15" t="s">
        <v>26</v>
      </c>
      <c r="H391" s="15">
        <v>579</v>
      </c>
      <c r="I391" s="15" t="s">
        <v>171</v>
      </c>
      <c r="J391" s="15"/>
      <c r="K391" s="15"/>
      <c r="L391" s="15"/>
      <c r="M391" s="15"/>
      <c r="N391" s="15"/>
      <c r="O391" s="15" t="s">
        <v>338</v>
      </c>
      <c r="P391" s="15" t="s">
        <v>1071</v>
      </c>
      <c r="Q391" s="12">
        <v>104</v>
      </c>
      <c r="R391" s="15"/>
      <c r="S391" s="15"/>
      <c r="T391" s="15"/>
      <c r="U391" s="15"/>
    </row>
    <row r="392" spans="1:21" ht="15.75" customHeight="1" x14ac:dyDescent="0.25">
      <c r="A392" s="15" t="s">
        <v>1072</v>
      </c>
      <c r="B392" s="15">
        <v>567</v>
      </c>
      <c r="C392" s="16"/>
      <c r="D392" s="47" t="s">
        <v>1060</v>
      </c>
      <c r="E392" s="18" t="s">
        <v>1073</v>
      </c>
      <c r="F392" s="15">
        <v>2025</v>
      </c>
      <c r="G392" s="15" t="s">
        <v>30</v>
      </c>
      <c r="H392" s="15">
        <v>567</v>
      </c>
      <c r="I392" s="15" t="s">
        <v>171</v>
      </c>
      <c r="J392" s="15"/>
      <c r="K392" s="15"/>
      <c r="L392" s="15"/>
      <c r="M392" s="15"/>
      <c r="N392" s="15"/>
      <c r="O392" s="15" t="s">
        <v>338</v>
      </c>
      <c r="P392" s="15" t="s">
        <v>1074</v>
      </c>
      <c r="Q392" s="12">
        <v>104</v>
      </c>
      <c r="R392" s="15"/>
      <c r="S392" s="15"/>
      <c r="T392" s="15"/>
      <c r="U392" s="15"/>
    </row>
    <row r="393" spans="1:21" ht="15.75" customHeight="1" x14ac:dyDescent="0.25">
      <c r="A393" s="15" t="s">
        <v>1075</v>
      </c>
      <c r="B393" s="15">
        <v>5672</v>
      </c>
      <c r="C393" s="16"/>
      <c r="D393" s="17" t="s">
        <v>1060</v>
      </c>
      <c r="E393" s="18" t="s">
        <v>1076</v>
      </c>
      <c r="F393" s="15">
        <v>2025</v>
      </c>
      <c r="G393" s="15" t="s">
        <v>30</v>
      </c>
      <c r="H393" s="15">
        <v>567</v>
      </c>
      <c r="I393" s="15" t="s">
        <v>171</v>
      </c>
      <c r="J393" s="15"/>
      <c r="K393" s="15"/>
      <c r="L393" s="15"/>
      <c r="M393" s="15"/>
      <c r="N393" s="15"/>
      <c r="O393" s="15" t="s">
        <v>338</v>
      </c>
      <c r="P393" s="15" t="s">
        <v>1077</v>
      </c>
      <c r="Q393" s="12">
        <v>104</v>
      </c>
      <c r="R393" s="15"/>
      <c r="S393" s="15"/>
      <c r="T393" s="15"/>
      <c r="U393" s="15"/>
    </row>
    <row r="394" spans="1:21" ht="15.75" customHeight="1" x14ac:dyDescent="0.25">
      <c r="A394" s="21" t="s">
        <v>1078</v>
      </c>
      <c r="C394" s="22" t="s">
        <v>81</v>
      </c>
      <c r="D394" s="23" t="s">
        <v>837</v>
      </c>
      <c r="E394" s="7" t="s">
        <v>1079</v>
      </c>
      <c r="F394" s="21">
        <v>2025</v>
      </c>
      <c r="G394" s="21" t="s">
        <v>30</v>
      </c>
      <c r="H394" s="21">
        <v>567</v>
      </c>
      <c r="I394" s="24" t="s">
        <v>109</v>
      </c>
      <c r="J394" s="25">
        <v>45596</v>
      </c>
      <c r="K394" s="25">
        <v>47787</v>
      </c>
      <c r="L394" s="13">
        <f ca="1">DATEDIF(J394, TODAY(), "m")</f>
        <v>17</v>
      </c>
      <c r="M394" s="25"/>
      <c r="Q394" s="12">
        <v>104</v>
      </c>
      <c r="R394" s="21" t="s">
        <v>89</v>
      </c>
    </row>
    <row r="395" spans="1:21" ht="15.75" customHeight="1" x14ac:dyDescent="0.25">
      <c r="A395" s="20" t="s">
        <v>1080</v>
      </c>
      <c r="C395" s="22" t="s">
        <v>283</v>
      </c>
      <c r="D395" s="26" t="s">
        <v>1081</v>
      </c>
      <c r="E395" s="28" t="s">
        <v>1082</v>
      </c>
      <c r="F395" s="20">
        <v>2025</v>
      </c>
      <c r="G395" s="20" t="s">
        <v>30</v>
      </c>
      <c r="H395" s="20">
        <v>567</v>
      </c>
      <c r="I395" s="24" t="s">
        <v>109</v>
      </c>
      <c r="L395" s="13">
        <f ca="1">DATEDIF(J395, TODAY(), "m")</f>
        <v>1515</v>
      </c>
      <c r="N395" s="20"/>
      <c r="Q395" s="12">
        <v>104</v>
      </c>
      <c r="R395" s="21" t="s">
        <v>89</v>
      </c>
      <c r="U395" s="28"/>
    </row>
    <row r="396" spans="1:21" ht="15.75" customHeight="1" x14ac:dyDescent="0.25">
      <c r="A396" s="20" t="s">
        <v>1083</v>
      </c>
      <c r="C396" s="22" t="s">
        <v>81</v>
      </c>
      <c r="D396" s="23" t="s">
        <v>1084</v>
      </c>
      <c r="E396" s="7" t="s">
        <v>1085</v>
      </c>
      <c r="F396" s="20">
        <v>2025</v>
      </c>
      <c r="G396" s="20" t="s">
        <v>1086</v>
      </c>
      <c r="H396" s="20"/>
      <c r="I396" s="24" t="s">
        <v>109</v>
      </c>
      <c r="L396" s="13">
        <f ca="1">DATEDIF(J396, TODAY(), "m")</f>
        <v>1515</v>
      </c>
      <c r="N396" s="20"/>
      <c r="Q396" s="12">
        <v>104</v>
      </c>
    </row>
    <row r="397" spans="1:21" ht="15.75" customHeight="1" x14ac:dyDescent="0.25">
      <c r="A397" s="20" t="s">
        <v>1087</v>
      </c>
      <c r="C397" s="9" t="s">
        <v>23</v>
      </c>
      <c r="D397" s="26" t="s">
        <v>1088</v>
      </c>
      <c r="E397" s="28" t="s">
        <v>1089</v>
      </c>
      <c r="F397" s="20"/>
      <c r="G397" s="20"/>
      <c r="H397" s="20"/>
      <c r="I397" s="24" t="s">
        <v>171</v>
      </c>
      <c r="J397" s="25"/>
      <c r="K397" s="25"/>
      <c r="L397" s="13">
        <f ca="1">DATEDIF(J397, TODAY(), "m")</f>
        <v>1515</v>
      </c>
      <c r="M397" s="25"/>
      <c r="N397" s="20"/>
      <c r="Q397" s="12">
        <v>104</v>
      </c>
    </row>
    <row r="398" spans="1:21" ht="15.75" customHeight="1" x14ac:dyDescent="0.25">
      <c r="A398" s="20" t="s">
        <v>1090</v>
      </c>
      <c r="C398" s="22" t="s">
        <v>283</v>
      </c>
      <c r="D398" s="26" t="s">
        <v>1091</v>
      </c>
      <c r="E398" s="28" t="s">
        <v>1092</v>
      </c>
      <c r="F398" s="20">
        <v>2025</v>
      </c>
      <c r="G398" s="20" t="s">
        <v>30</v>
      </c>
      <c r="H398" s="20">
        <v>579</v>
      </c>
      <c r="I398" s="24" t="s">
        <v>109</v>
      </c>
      <c r="J398" s="25">
        <v>45657</v>
      </c>
      <c r="K398" s="25">
        <v>48304</v>
      </c>
      <c r="L398" s="13">
        <f ca="1">DATEDIF(J398, TODAY(), "m")</f>
        <v>15</v>
      </c>
      <c r="M398" s="25"/>
      <c r="N398" s="20" t="s">
        <v>516</v>
      </c>
      <c r="Q398" s="12">
        <v>104</v>
      </c>
    </row>
    <row r="399" spans="1:21" ht="15.75" customHeight="1" x14ac:dyDescent="0.25">
      <c r="A399" s="20" t="s">
        <v>1093</v>
      </c>
      <c r="C399" s="22" t="s">
        <v>283</v>
      </c>
      <c r="D399" s="26" t="s">
        <v>1091</v>
      </c>
      <c r="E399" s="28" t="s">
        <v>1094</v>
      </c>
      <c r="F399" s="20">
        <v>2025</v>
      </c>
      <c r="G399" s="20" t="s">
        <v>30</v>
      </c>
      <c r="H399" s="20">
        <v>579</v>
      </c>
      <c r="I399" s="24" t="s">
        <v>109</v>
      </c>
      <c r="J399" s="25">
        <v>45657</v>
      </c>
      <c r="K399" s="25">
        <v>48304</v>
      </c>
      <c r="L399" s="13">
        <f ca="1">DATEDIF(J399, TODAY(), "m")</f>
        <v>15</v>
      </c>
      <c r="M399" s="25"/>
      <c r="N399" s="20" t="s">
        <v>516</v>
      </c>
      <c r="Q399" s="12">
        <v>104</v>
      </c>
    </row>
    <row r="400" spans="1:21" ht="15.75" customHeight="1" x14ac:dyDescent="0.25">
      <c r="A400" s="20" t="s">
        <v>1095</v>
      </c>
      <c r="C400" s="9" t="s">
        <v>23</v>
      </c>
      <c r="D400" s="26" t="s">
        <v>1096</v>
      </c>
      <c r="E400" s="28" t="s">
        <v>1097</v>
      </c>
      <c r="F400" s="20"/>
      <c r="G400" s="20"/>
      <c r="H400" s="20"/>
      <c r="I400" s="24" t="s">
        <v>171</v>
      </c>
      <c r="J400" s="25"/>
      <c r="K400" s="25"/>
      <c r="L400" s="13">
        <f ca="1">DATEDIF(J400, TODAY(), "m")</f>
        <v>1515</v>
      </c>
      <c r="M400" s="25"/>
      <c r="N400" s="20"/>
      <c r="Q400" s="12">
        <v>104</v>
      </c>
    </row>
    <row r="401" spans="1:22" ht="15.75" customHeight="1" x14ac:dyDescent="0.25">
      <c r="A401" s="20" t="s">
        <v>1098</v>
      </c>
      <c r="C401" s="9" t="s">
        <v>23</v>
      </c>
      <c r="D401" s="26" t="s">
        <v>1099</v>
      </c>
      <c r="E401" s="28" t="s">
        <v>1100</v>
      </c>
      <c r="F401" s="20"/>
      <c r="G401" s="20"/>
      <c r="H401" s="20"/>
      <c r="I401" s="24" t="s">
        <v>109</v>
      </c>
      <c r="J401" s="25"/>
      <c r="K401" s="25"/>
      <c r="L401" s="13">
        <f ca="1">DATEDIF(J401, TODAY(), "m")</f>
        <v>1515</v>
      </c>
      <c r="M401" s="25"/>
      <c r="N401" s="20"/>
      <c r="Q401" s="12">
        <v>104</v>
      </c>
      <c r="V401" s="22" t="s">
        <v>1101</v>
      </c>
    </row>
    <row r="402" spans="1:22" ht="15.75" customHeight="1" x14ac:dyDescent="0.25">
      <c r="A402" s="20" t="s">
        <v>1102</v>
      </c>
      <c r="C402" s="22" t="s">
        <v>81</v>
      </c>
      <c r="D402" s="23" t="s">
        <v>1084</v>
      </c>
      <c r="E402" s="7" t="s">
        <v>1103</v>
      </c>
      <c r="F402" s="20">
        <v>2025</v>
      </c>
      <c r="G402" s="20" t="s">
        <v>1086</v>
      </c>
      <c r="H402" s="20"/>
      <c r="I402" s="24" t="s">
        <v>171</v>
      </c>
      <c r="L402" s="13">
        <f ca="1">DATEDIF(J402, TODAY(), "m")</f>
        <v>1515</v>
      </c>
      <c r="N402" s="20"/>
      <c r="Q402" s="12">
        <v>104</v>
      </c>
    </row>
    <row r="403" spans="1:22" ht="15.75" customHeight="1" x14ac:dyDescent="0.25">
      <c r="A403" s="21" t="s">
        <v>1104</v>
      </c>
      <c r="C403" s="22" t="s">
        <v>81</v>
      </c>
      <c r="D403" s="23" t="s">
        <v>1105</v>
      </c>
      <c r="E403" s="21" t="s">
        <v>1106</v>
      </c>
      <c r="F403" s="21">
        <v>2026</v>
      </c>
      <c r="G403" s="21" t="s">
        <v>30</v>
      </c>
      <c r="H403" s="21">
        <v>567</v>
      </c>
      <c r="I403" s="24"/>
      <c r="J403" s="25">
        <v>45813</v>
      </c>
      <c r="K403" s="25"/>
      <c r="L403" s="13">
        <f ca="1">DATEDIF(J403, TODAY(), "m")</f>
        <v>9</v>
      </c>
      <c r="M403" s="25"/>
      <c r="Q403" s="12">
        <v>104</v>
      </c>
    </row>
    <row r="404" spans="1:22" ht="15.75" customHeight="1" x14ac:dyDescent="0.25">
      <c r="A404" s="21" t="s">
        <v>1107</v>
      </c>
      <c r="C404" s="22" t="s">
        <v>81</v>
      </c>
      <c r="D404" s="23" t="s">
        <v>1105</v>
      </c>
      <c r="E404" s="64" t="s">
        <v>1108</v>
      </c>
      <c r="I404" s="24"/>
      <c r="J404" s="38">
        <v>45673</v>
      </c>
      <c r="L404" s="13">
        <f ca="1">DATEDIF(J404, TODAY(), "m")</f>
        <v>14</v>
      </c>
      <c r="M404" s="76" t="s">
        <v>1109</v>
      </c>
      <c r="Q404" s="12">
        <v>104</v>
      </c>
    </row>
    <row r="405" spans="1:22" ht="15.75" customHeight="1" x14ac:dyDescent="0.25">
      <c r="A405" s="21" t="s">
        <v>1110</v>
      </c>
      <c r="C405" s="22" t="s">
        <v>81</v>
      </c>
      <c r="D405" s="23" t="s">
        <v>1105</v>
      </c>
      <c r="E405" s="21" t="s">
        <v>1111</v>
      </c>
      <c r="H405" s="21">
        <v>567</v>
      </c>
      <c r="I405" s="24"/>
      <c r="L405" s="13">
        <f ca="1">DATEDIF(J405, TODAY(), "m")</f>
        <v>1515</v>
      </c>
      <c r="Q405" s="12">
        <v>104</v>
      </c>
    </row>
    <row r="406" spans="1:22" ht="15.75" customHeight="1" x14ac:dyDescent="0.25">
      <c r="A406" s="30" t="s">
        <v>1112</v>
      </c>
      <c r="C406" s="22" t="s">
        <v>81</v>
      </c>
      <c r="D406" s="23" t="s">
        <v>1084</v>
      </c>
      <c r="E406" s="64" t="s">
        <v>1113</v>
      </c>
      <c r="H406" s="21">
        <v>536</v>
      </c>
      <c r="I406" s="24"/>
      <c r="L406" s="13">
        <f ca="1">DATEDIF(J406, TODAY(), "m")</f>
        <v>1515</v>
      </c>
      <c r="Q406" s="12">
        <v>104</v>
      </c>
      <c r="V406" s="32" t="s">
        <v>218</v>
      </c>
    </row>
    <row r="407" spans="1:22" ht="15.75" customHeight="1" x14ac:dyDescent="0.25">
      <c r="A407" s="21" t="s">
        <v>1114</v>
      </c>
      <c r="C407" s="22" t="s">
        <v>81</v>
      </c>
      <c r="D407" s="23" t="s">
        <v>1105</v>
      </c>
      <c r="E407" s="21" t="s">
        <v>1115</v>
      </c>
      <c r="H407" s="21">
        <v>567</v>
      </c>
      <c r="I407" s="24"/>
      <c r="J407" s="38">
        <v>45996</v>
      </c>
      <c r="L407" s="13">
        <f ca="1">DATEDIF(J407, TODAY(), "m")</f>
        <v>3</v>
      </c>
      <c r="Q407" s="12">
        <v>104</v>
      </c>
    </row>
    <row r="408" spans="1:22" ht="15.75" customHeight="1" x14ac:dyDescent="0.25">
      <c r="A408" s="21" t="s">
        <v>1116</v>
      </c>
      <c r="C408" s="22" t="s">
        <v>81</v>
      </c>
      <c r="D408" s="23" t="s">
        <v>1105</v>
      </c>
      <c r="E408" s="36" t="s">
        <v>1117</v>
      </c>
      <c r="F408" s="37"/>
      <c r="H408" s="21">
        <v>567</v>
      </c>
      <c r="I408" s="24"/>
      <c r="L408" s="13">
        <f ca="1">DATEDIF(J408, TODAY(), "m")</f>
        <v>1515</v>
      </c>
      <c r="Q408" s="12">
        <v>104</v>
      </c>
    </row>
    <row r="409" spans="1:22" ht="15.75" customHeight="1" x14ac:dyDescent="0.25">
      <c r="A409" s="21" t="s">
        <v>1118</v>
      </c>
      <c r="C409" s="22" t="s">
        <v>81</v>
      </c>
      <c r="D409" s="23" t="s">
        <v>1105</v>
      </c>
      <c r="E409" s="21" t="s">
        <v>1119</v>
      </c>
      <c r="H409" s="21">
        <v>567</v>
      </c>
      <c r="I409" s="24"/>
      <c r="J409" s="38">
        <v>45993</v>
      </c>
      <c r="L409" s="13">
        <f ca="1">DATEDIF(J409, TODAY(), "m")</f>
        <v>4</v>
      </c>
      <c r="Q409" s="12">
        <v>104</v>
      </c>
    </row>
    <row r="410" spans="1:22" ht="15.75" customHeight="1" x14ac:dyDescent="0.25">
      <c r="A410" s="21" t="s">
        <v>1120</v>
      </c>
      <c r="C410" s="22" t="s">
        <v>81</v>
      </c>
      <c r="D410" s="23" t="s">
        <v>1105</v>
      </c>
      <c r="E410" s="40" t="s">
        <v>1121</v>
      </c>
      <c r="H410" s="21">
        <v>567</v>
      </c>
      <c r="I410" s="24"/>
      <c r="L410" s="13">
        <f ca="1">DATEDIF(J410, TODAY(), "m")</f>
        <v>1515</v>
      </c>
      <c r="Q410" s="12">
        <v>104</v>
      </c>
    </row>
    <row r="411" spans="1:22" ht="15.75" customHeight="1" x14ac:dyDescent="0.25">
      <c r="A411" s="21" t="s">
        <v>1122</v>
      </c>
      <c r="C411" s="22" t="s">
        <v>81</v>
      </c>
      <c r="D411" s="23" t="s">
        <v>1105</v>
      </c>
      <c r="E411" s="36" t="s">
        <v>1123</v>
      </c>
      <c r="F411" s="37"/>
      <c r="H411" s="21">
        <v>567</v>
      </c>
      <c r="I411" s="24"/>
      <c r="J411" s="38">
        <v>46007</v>
      </c>
      <c r="L411" s="13">
        <f ca="1">DATEDIF(J411, TODAY(), "m")</f>
        <v>3</v>
      </c>
      <c r="Q411" s="12">
        <v>104</v>
      </c>
    </row>
    <row r="412" spans="1:22" ht="15.75" customHeight="1" x14ac:dyDescent="0.25">
      <c r="A412" s="21" t="s">
        <v>1124</v>
      </c>
      <c r="C412" s="22" t="s">
        <v>81</v>
      </c>
      <c r="D412" s="23" t="s">
        <v>1105</v>
      </c>
      <c r="E412" s="36" t="s">
        <v>1125</v>
      </c>
      <c r="F412" s="37"/>
      <c r="H412" s="21">
        <v>567</v>
      </c>
      <c r="I412" s="24"/>
      <c r="L412" s="13">
        <f ca="1">DATEDIF(J412, TODAY(), "m")</f>
        <v>1515</v>
      </c>
      <c r="Q412" s="12">
        <v>104</v>
      </c>
    </row>
    <row r="413" spans="1:22" ht="15.75" customHeight="1" x14ac:dyDescent="0.25">
      <c r="A413" s="21" t="s">
        <v>1126</v>
      </c>
      <c r="C413" s="22" t="s">
        <v>81</v>
      </c>
      <c r="D413" s="23" t="s">
        <v>1105</v>
      </c>
      <c r="E413" s="51" t="s">
        <v>1127</v>
      </c>
      <c r="F413" s="37"/>
      <c r="I413" s="51"/>
      <c r="L413" s="13">
        <f ca="1">DATEDIF(J413, TODAY(), "m")</f>
        <v>1515</v>
      </c>
      <c r="Q413" s="12">
        <v>104</v>
      </c>
    </row>
    <row r="414" spans="1:22" ht="15.75" customHeight="1" x14ac:dyDescent="0.25">
      <c r="A414" s="21" t="s">
        <v>1128</v>
      </c>
      <c r="C414" s="22" t="s">
        <v>81</v>
      </c>
      <c r="D414" s="23" t="s">
        <v>1105</v>
      </c>
      <c r="E414" s="51" t="s">
        <v>1129</v>
      </c>
      <c r="F414" s="37"/>
      <c r="I414" s="51"/>
      <c r="L414" s="13">
        <f ca="1">DATEDIF(J414, TODAY(), "m")</f>
        <v>1515</v>
      </c>
      <c r="Q414" s="12">
        <v>104</v>
      </c>
      <c r="V414" s="22" t="s">
        <v>1130</v>
      </c>
    </row>
    <row r="415" spans="1:22" ht="15.75" customHeight="1" x14ac:dyDescent="0.25">
      <c r="A415" s="21" t="s">
        <v>1131</v>
      </c>
      <c r="C415" s="22" t="s">
        <v>81</v>
      </c>
      <c r="D415" s="23" t="s">
        <v>1105</v>
      </c>
      <c r="E415" s="51" t="s">
        <v>1132</v>
      </c>
      <c r="F415" s="37"/>
      <c r="I415" s="51"/>
      <c r="J415" s="38">
        <v>46091</v>
      </c>
      <c r="L415" s="13">
        <f ca="1">DATEDIF(J415, TODAY(), "m")</f>
        <v>0</v>
      </c>
      <c r="Q415" s="12">
        <v>104</v>
      </c>
      <c r="V415" s="22" t="s">
        <v>1133</v>
      </c>
    </row>
    <row r="416" spans="1:22" ht="15.75" customHeight="1" x14ac:dyDescent="0.25">
      <c r="A416" s="21" t="s">
        <v>1134</v>
      </c>
      <c r="C416" s="22" t="s">
        <v>81</v>
      </c>
      <c r="D416" s="23" t="s">
        <v>1105</v>
      </c>
      <c r="E416" s="51" t="s">
        <v>1135</v>
      </c>
      <c r="F416" s="37"/>
      <c r="I416" s="51"/>
      <c r="L416" s="13">
        <f ca="1">DATEDIF(J416, TODAY(), "m")</f>
        <v>1515</v>
      </c>
      <c r="Q416" s="12">
        <v>104</v>
      </c>
      <c r="V416" s="22" t="s">
        <v>1136</v>
      </c>
    </row>
    <row r="417" spans="1:22" ht="15.75" customHeight="1" x14ac:dyDescent="0.25">
      <c r="A417" s="21" t="s">
        <v>1137</v>
      </c>
      <c r="C417" s="22" t="s">
        <v>81</v>
      </c>
      <c r="D417" s="23" t="s">
        <v>1105</v>
      </c>
      <c r="E417" s="51" t="s">
        <v>1138</v>
      </c>
      <c r="F417" s="37"/>
      <c r="I417" s="51"/>
      <c r="L417" s="13">
        <f ca="1">DATEDIF(J417, TODAY(), "m")</f>
        <v>1515</v>
      </c>
      <c r="Q417" s="12">
        <v>104</v>
      </c>
      <c r="V417" s="22" t="s">
        <v>1139</v>
      </c>
    </row>
    <row r="418" spans="1:22" ht="15.75" customHeight="1" x14ac:dyDescent="0.25">
      <c r="A418" s="21" t="s">
        <v>1140</v>
      </c>
      <c r="C418" s="22" t="s">
        <v>81</v>
      </c>
      <c r="D418" s="23" t="s">
        <v>1105</v>
      </c>
      <c r="E418" s="51" t="s">
        <v>1141</v>
      </c>
      <c r="F418" s="37"/>
      <c r="I418" s="51"/>
      <c r="L418" s="13">
        <f ca="1">DATEDIF(J418, TODAY(), "m")</f>
        <v>1515</v>
      </c>
      <c r="Q418" s="12">
        <v>104</v>
      </c>
      <c r="V418" s="22" t="s">
        <v>1142</v>
      </c>
    </row>
    <row r="419" spans="1:22" s="15" customFormat="1" ht="15.75" customHeight="1" x14ac:dyDescent="0.25">
      <c r="A419" s="21" t="s">
        <v>1143</v>
      </c>
      <c r="B419" s="21"/>
      <c r="C419" s="22" t="s">
        <v>81</v>
      </c>
      <c r="D419" s="23" t="s">
        <v>1105</v>
      </c>
      <c r="E419" s="77" t="s">
        <v>1144</v>
      </c>
      <c r="F419" s="37"/>
      <c r="G419" s="21"/>
      <c r="H419" s="21"/>
      <c r="I419" s="51"/>
      <c r="J419" s="21"/>
      <c r="K419" s="21"/>
      <c r="L419" s="13">
        <f ca="1">DATEDIF(J419, TODAY(), "m")</f>
        <v>1515</v>
      </c>
      <c r="M419" s="21"/>
      <c r="N419" s="21"/>
      <c r="O419" s="21"/>
      <c r="P419" s="21"/>
      <c r="Q419" s="12">
        <v>104</v>
      </c>
      <c r="R419" s="21"/>
      <c r="S419" s="21"/>
      <c r="T419" s="21"/>
      <c r="U419" s="21"/>
      <c r="V419" s="22" t="s">
        <v>1145</v>
      </c>
    </row>
    <row r="420" spans="1:22" s="15" customFormat="1" ht="15.75" customHeight="1" x14ac:dyDescent="0.25">
      <c r="A420" s="21" t="s">
        <v>1146</v>
      </c>
      <c r="B420" s="21"/>
      <c r="C420" s="22" t="s">
        <v>81</v>
      </c>
      <c r="D420" s="23" t="s">
        <v>1105</v>
      </c>
      <c r="E420" s="51" t="s">
        <v>1147</v>
      </c>
      <c r="F420" s="37"/>
      <c r="G420" s="21"/>
      <c r="H420" s="21"/>
      <c r="I420" s="51"/>
      <c r="J420" s="21"/>
      <c r="K420" s="21"/>
      <c r="L420" s="13">
        <f ca="1">DATEDIF(J420, TODAY(), "m")</f>
        <v>1515</v>
      </c>
      <c r="M420" s="21"/>
      <c r="N420" s="21"/>
      <c r="O420" s="21"/>
      <c r="P420" s="21"/>
      <c r="Q420" s="12">
        <v>104</v>
      </c>
      <c r="R420" s="21"/>
      <c r="S420" s="21"/>
      <c r="T420" s="21"/>
      <c r="U420" s="21"/>
      <c r="V420" s="22" t="s">
        <v>1148</v>
      </c>
    </row>
    <row r="421" spans="1:22" ht="15.75" customHeight="1" x14ac:dyDescent="0.25">
      <c r="A421" s="21" t="s">
        <v>1149</v>
      </c>
      <c r="C421" s="22" t="s">
        <v>81</v>
      </c>
      <c r="D421" s="23" t="s">
        <v>1105</v>
      </c>
      <c r="E421" s="51" t="s">
        <v>1150</v>
      </c>
      <c r="F421" s="37"/>
      <c r="I421" s="51"/>
      <c r="L421" s="13">
        <f ca="1">DATEDIF(J421, TODAY(), "m")</f>
        <v>1515</v>
      </c>
      <c r="Q421" s="12">
        <v>104</v>
      </c>
    </row>
    <row r="422" spans="1:22" ht="15.75" customHeight="1" x14ac:dyDescent="0.25">
      <c r="A422" s="21" t="s">
        <v>1151</v>
      </c>
      <c r="C422" s="22" t="s">
        <v>81</v>
      </c>
      <c r="D422" s="23" t="s">
        <v>1105</v>
      </c>
      <c r="E422" s="51" t="s">
        <v>1152</v>
      </c>
      <c r="F422" s="37"/>
      <c r="I422" s="51"/>
      <c r="L422" s="13">
        <f ca="1">DATEDIF(J422, TODAY(), "m")</f>
        <v>1515</v>
      </c>
      <c r="Q422" s="12">
        <v>104</v>
      </c>
      <c r="V422" s="22" t="s">
        <v>1153</v>
      </c>
    </row>
    <row r="423" spans="1:22" ht="15.75" customHeight="1" x14ac:dyDescent="0.25">
      <c r="A423" s="21" t="s">
        <v>1154</v>
      </c>
      <c r="C423" s="22" t="s">
        <v>81</v>
      </c>
      <c r="D423" s="23" t="s">
        <v>1084</v>
      </c>
      <c r="E423" s="40" t="s">
        <v>1155</v>
      </c>
      <c r="F423" s="37">
        <v>2027</v>
      </c>
      <c r="G423" s="21" t="s">
        <v>26</v>
      </c>
      <c r="I423" s="51"/>
      <c r="L423" s="13"/>
      <c r="Q423" s="12">
        <v>104</v>
      </c>
    </row>
    <row r="424" spans="1:22" ht="15.75" customHeight="1" x14ac:dyDescent="0.25">
      <c r="A424" s="21" t="s">
        <v>1156</v>
      </c>
      <c r="C424" s="22" t="s">
        <v>81</v>
      </c>
      <c r="D424" s="23" t="s">
        <v>1105</v>
      </c>
      <c r="E424" s="21">
        <v>818188</v>
      </c>
      <c r="G424" s="21" t="s">
        <v>30</v>
      </c>
      <c r="H424" s="21">
        <v>567</v>
      </c>
      <c r="I424" s="24"/>
      <c r="L424" s="13">
        <f ca="1">DATEDIF(J424, TODAY(), "m")</f>
        <v>1515</v>
      </c>
      <c r="Q424" s="12">
        <v>104</v>
      </c>
    </row>
    <row r="425" spans="1:22" ht="15.75" customHeight="1" x14ac:dyDescent="0.25">
      <c r="A425" s="21" t="s">
        <v>1157</v>
      </c>
      <c r="C425" s="22" t="s">
        <v>81</v>
      </c>
      <c r="D425" s="23" t="s">
        <v>1105</v>
      </c>
      <c r="E425" s="21">
        <v>818189</v>
      </c>
      <c r="G425" s="21" t="s">
        <v>30</v>
      </c>
      <c r="H425" s="21">
        <v>567</v>
      </c>
      <c r="I425" s="24"/>
      <c r="L425" s="13">
        <f ca="1">DATEDIF(J425, TODAY(), "m")</f>
        <v>1515</v>
      </c>
      <c r="Q425" s="12">
        <v>104</v>
      </c>
    </row>
    <row r="426" spans="1:22" s="27" customFormat="1" ht="15.75" customHeight="1" x14ac:dyDescent="0.25">
      <c r="A426" s="21" t="s">
        <v>1158</v>
      </c>
      <c r="B426" s="21"/>
      <c r="C426" s="22" t="s">
        <v>81</v>
      </c>
      <c r="D426" s="23" t="s">
        <v>1105</v>
      </c>
      <c r="E426" s="21">
        <v>818190</v>
      </c>
      <c r="F426" s="21"/>
      <c r="G426" s="21" t="s">
        <v>30</v>
      </c>
      <c r="H426" s="21">
        <v>567</v>
      </c>
      <c r="I426" s="24"/>
      <c r="J426" s="21"/>
      <c r="K426" s="21"/>
      <c r="L426" s="13">
        <f ca="1">DATEDIF(J426, TODAY(), "m")</f>
        <v>1515</v>
      </c>
      <c r="M426" s="21"/>
      <c r="N426" s="21"/>
      <c r="O426" s="21"/>
      <c r="P426" s="21"/>
      <c r="Q426" s="12">
        <v>104</v>
      </c>
      <c r="R426" s="21"/>
      <c r="S426" s="21"/>
      <c r="T426" s="21"/>
      <c r="U426" s="21"/>
      <c r="V426" s="22"/>
    </row>
    <row r="427" spans="1:22" s="27" customFormat="1" ht="15.75" customHeight="1" x14ac:dyDescent="0.25">
      <c r="A427" s="21" t="s">
        <v>1159</v>
      </c>
      <c r="B427" s="21"/>
      <c r="C427" s="22" t="s">
        <v>81</v>
      </c>
      <c r="D427" s="23" t="s">
        <v>1105</v>
      </c>
      <c r="E427" s="21">
        <v>818191</v>
      </c>
      <c r="F427" s="21"/>
      <c r="G427" s="21" t="s">
        <v>30</v>
      </c>
      <c r="H427" s="21">
        <v>567</v>
      </c>
      <c r="I427" s="24"/>
      <c r="J427" s="21"/>
      <c r="K427" s="21"/>
      <c r="L427" s="13">
        <f ca="1">DATEDIF(J427, TODAY(), "m")</f>
        <v>1515</v>
      </c>
      <c r="M427" s="21"/>
      <c r="N427" s="21"/>
      <c r="O427" s="21"/>
      <c r="P427" s="21"/>
      <c r="Q427" s="12">
        <v>104</v>
      </c>
      <c r="R427" s="21"/>
      <c r="S427" s="21"/>
      <c r="T427" s="21"/>
      <c r="U427" s="21"/>
      <c r="V427" s="22"/>
    </row>
    <row r="428" spans="1:22" ht="15.75" customHeight="1" x14ac:dyDescent="0.25">
      <c r="A428" s="21" t="s">
        <v>1160</v>
      </c>
      <c r="C428" s="22" t="s">
        <v>81</v>
      </c>
      <c r="D428" s="23" t="s">
        <v>1105</v>
      </c>
      <c r="E428" s="21">
        <v>818192</v>
      </c>
      <c r="G428" s="21" t="s">
        <v>30</v>
      </c>
      <c r="H428" s="21">
        <v>567</v>
      </c>
      <c r="I428" s="24"/>
      <c r="L428" s="13">
        <f ca="1">DATEDIF(J428, TODAY(), "m")</f>
        <v>1515</v>
      </c>
      <c r="Q428" s="12">
        <v>104</v>
      </c>
    </row>
    <row r="429" spans="1:22" ht="15.75" customHeight="1" x14ac:dyDescent="0.25">
      <c r="A429" s="21" t="s">
        <v>1161</v>
      </c>
      <c r="C429" s="22" t="s">
        <v>81</v>
      </c>
      <c r="D429" s="23" t="s">
        <v>1105</v>
      </c>
      <c r="E429" s="21">
        <v>818193</v>
      </c>
      <c r="G429" s="21" t="s">
        <v>30</v>
      </c>
      <c r="H429" s="21">
        <v>567</v>
      </c>
      <c r="I429" s="24"/>
      <c r="L429" s="13">
        <f ca="1">DATEDIF(J429, TODAY(), "m")</f>
        <v>1515</v>
      </c>
      <c r="Q429" s="12">
        <v>104</v>
      </c>
    </row>
    <row r="430" spans="1:22" ht="15.75" customHeight="1" x14ac:dyDescent="0.25">
      <c r="A430" s="21" t="s">
        <v>1162</v>
      </c>
      <c r="C430" s="22" t="s">
        <v>81</v>
      </c>
      <c r="D430" s="23" t="s">
        <v>1105</v>
      </c>
      <c r="E430" s="21">
        <v>818194</v>
      </c>
      <c r="G430" s="21" t="s">
        <v>30</v>
      </c>
      <c r="H430" s="21">
        <v>567</v>
      </c>
      <c r="I430" s="24"/>
      <c r="L430" s="13">
        <f ca="1">DATEDIF(J430, TODAY(), "m")</f>
        <v>1515</v>
      </c>
      <c r="Q430" s="12">
        <v>104</v>
      </c>
    </row>
    <row r="431" spans="1:22" ht="15.75" customHeight="1" x14ac:dyDescent="0.25">
      <c r="A431" s="21" t="s">
        <v>1163</v>
      </c>
      <c r="C431" s="22" t="s">
        <v>81</v>
      </c>
      <c r="D431" s="23" t="s">
        <v>1105</v>
      </c>
      <c r="E431" s="21">
        <v>818195</v>
      </c>
      <c r="G431" s="21" t="s">
        <v>30</v>
      </c>
      <c r="H431" s="21">
        <v>567</v>
      </c>
      <c r="I431" s="24"/>
      <c r="L431" s="13">
        <f ca="1">DATEDIF(J431, TODAY(), "m")</f>
        <v>1515</v>
      </c>
      <c r="Q431" s="12">
        <v>104</v>
      </c>
    </row>
    <row r="432" spans="1:22" ht="15.75" customHeight="1" x14ac:dyDescent="0.25">
      <c r="A432" s="21" t="s">
        <v>1164</v>
      </c>
      <c r="C432" s="22" t="s">
        <v>81</v>
      </c>
      <c r="D432" s="23" t="s">
        <v>1105</v>
      </c>
      <c r="E432" s="21">
        <v>818196</v>
      </c>
      <c r="G432" s="21" t="s">
        <v>30</v>
      </c>
      <c r="H432" s="21">
        <v>567</v>
      </c>
      <c r="I432" s="24"/>
      <c r="L432" s="13">
        <f ca="1">DATEDIF(J432, TODAY(), "m")</f>
        <v>1515</v>
      </c>
      <c r="Q432" s="12">
        <v>104</v>
      </c>
    </row>
    <row r="433" spans="1:22" ht="15.75" customHeight="1" x14ac:dyDescent="0.25">
      <c r="A433" s="21" t="s">
        <v>1165</v>
      </c>
      <c r="C433" s="22" t="s">
        <v>81</v>
      </c>
      <c r="D433" s="23" t="s">
        <v>1105</v>
      </c>
      <c r="E433" s="21">
        <v>818197</v>
      </c>
      <c r="G433" s="21" t="s">
        <v>30</v>
      </c>
      <c r="H433" s="21">
        <v>567</v>
      </c>
      <c r="I433" s="24"/>
      <c r="L433" s="13">
        <f ca="1">DATEDIF(J433, TODAY(), "m")</f>
        <v>1515</v>
      </c>
      <c r="Q433" s="12">
        <v>104</v>
      </c>
    </row>
    <row r="434" spans="1:22" ht="15.75" customHeight="1" x14ac:dyDescent="0.25">
      <c r="A434" s="15" t="s">
        <v>1166</v>
      </c>
      <c r="B434" s="15">
        <v>7</v>
      </c>
      <c r="C434" s="22" t="s">
        <v>81</v>
      </c>
      <c r="D434" s="17" t="s">
        <v>558</v>
      </c>
      <c r="E434" s="15" t="s">
        <v>1167</v>
      </c>
      <c r="F434" s="15" t="s">
        <v>29</v>
      </c>
      <c r="G434" s="15" t="s">
        <v>30</v>
      </c>
      <c r="H434" s="15" t="s">
        <v>31</v>
      </c>
      <c r="I434" s="15" t="s">
        <v>171</v>
      </c>
      <c r="J434" s="29">
        <v>43613</v>
      </c>
      <c r="K434" s="29">
        <v>45805</v>
      </c>
      <c r="L434" s="13">
        <f ca="1">DATEDIF(J434, TODAY(), "m")</f>
        <v>82</v>
      </c>
      <c r="M434" s="29"/>
      <c r="N434" s="15"/>
      <c r="O434" s="15" t="s">
        <v>1031</v>
      </c>
      <c r="P434" s="15"/>
      <c r="Q434" s="12">
        <v>104</v>
      </c>
      <c r="R434" s="15" t="s">
        <v>89</v>
      </c>
      <c r="S434" s="15" t="s">
        <v>88</v>
      </c>
      <c r="T434" s="15"/>
      <c r="U434" s="15"/>
    </row>
    <row r="435" spans="1:22" ht="15.75" customHeight="1" x14ac:dyDescent="0.25">
      <c r="A435" s="21" t="s">
        <v>1168</v>
      </c>
      <c r="C435" s="22" t="s">
        <v>283</v>
      </c>
      <c r="D435" s="23" t="s">
        <v>1169</v>
      </c>
      <c r="E435" s="21" t="s">
        <v>1170</v>
      </c>
      <c r="F435" s="21" t="s">
        <v>494</v>
      </c>
      <c r="G435" s="21" t="s">
        <v>30</v>
      </c>
      <c r="H435" s="21" t="s">
        <v>115</v>
      </c>
      <c r="I435" s="24" t="s">
        <v>109</v>
      </c>
      <c r="J435" s="21" t="s">
        <v>488</v>
      </c>
      <c r="K435" s="21" t="s">
        <v>488</v>
      </c>
      <c r="L435" s="13" t="e">
        <f ca="1">DATEDIF(J435, TODAY(), "m")</f>
        <v>#VALUE!</v>
      </c>
      <c r="Q435" s="12">
        <v>104</v>
      </c>
    </row>
    <row r="436" spans="1:22" ht="15.75" customHeight="1" x14ac:dyDescent="0.25">
      <c r="A436" s="21" t="s">
        <v>1171</v>
      </c>
      <c r="C436" s="22" t="s">
        <v>283</v>
      </c>
      <c r="D436" s="23" t="s">
        <v>1172</v>
      </c>
      <c r="E436" s="21" t="s">
        <v>1173</v>
      </c>
      <c r="F436" s="21" t="s">
        <v>205</v>
      </c>
      <c r="G436" s="21" t="s">
        <v>30</v>
      </c>
      <c r="H436" s="21" t="s">
        <v>115</v>
      </c>
      <c r="I436" s="24" t="s">
        <v>499</v>
      </c>
      <c r="J436" s="25">
        <v>44830</v>
      </c>
      <c r="K436" s="25">
        <v>46656</v>
      </c>
      <c r="L436" s="13">
        <f ca="1">DATEDIF(J436, TODAY(), "m")</f>
        <v>42</v>
      </c>
      <c r="M436" s="25"/>
      <c r="Q436" s="12">
        <v>104</v>
      </c>
      <c r="R436" s="21" t="s">
        <v>88</v>
      </c>
    </row>
    <row r="437" spans="1:22" ht="15.75" customHeight="1" x14ac:dyDescent="0.25">
      <c r="A437" s="21" t="s">
        <v>1174</v>
      </c>
      <c r="C437" s="22" t="s">
        <v>283</v>
      </c>
      <c r="D437" s="23" t="s">
        <v>1175</v>
      </c>
      <c r="E437" s="21" t="s">
        <v>1176</v>
      </c>
      <c r="F437" s="21" t="s">
        <v>205</v>
      </c>
      <c r="G437" s="21" t="s">
        <v>30</v>
      </c>
      <c r="H437" s="21" t="s">
        <v>115</v>
      </c>
      <c r="I437" s="50" t="s">
        <v>654</v>
      </c>
      <c r="L437" s="13">
        <f ca="1">DATEDIF(J437, TODAY(), "m")</f>
        <v>1515</v>
      </c>
      <c r="O437" s="21" t="s">
        <v>1177</v>
      </c>
      <c r="P437" s="21" t="s">
        <v>1178</v>
      </c>
      <c r="Q437" s="12">
        <v>104</v>
      </c>
      <c r="R437" s="27"/>
      <c r="S437" s="27"/>
      <c r="T437" s="27"/>
      <c r="U437" s="27"/>
    </row>
    <row r="438" spans="1:22" s="27" customFormat="1" ht="15.75" customHeight="1" x14ac:dyDescent="0.25">
      <c r="A438" s="20" t="s">
        <v>1179</v>
      </c>
      <c r="B438" s="21"/>
      <c r="C438" s="22" t="s">
        <v>283</v>
      </c>
      <c r="D438" s="26" t="s">
        <v>1175</v>
      </c>
      <c r="E438" s="20" t="s">
        <v>1180</v>
      </c>
      <c r="F438" s="20" t="s">
        <v>205</v>
      </c>
      <c r="G438" s="20" t="s">
        <v>30</v>
      </c>
      <c r="H438" s="20" t="s">
        <v>108</v>
      </c>
      <c r="I438" s="24" t="s">
        <v>499</v>
      </c>
      <c r="J438" s="21"/>
      <c r="K438" s="21"/>
      <c r="L438" s="13">
        <f ca="1">DATEDIF(J438, TODAY(), "m")</f>
        <v>1515</v>
      </c>
      <c r="M438" s="21" t="s">
        <v>1181</v>
      </c>
      <c r="N438" s="20"/>
      <c r="O438" s="21" t="s">
        <v>1177</v>
      </c>
      <c r="P438" s="21"/>
      <c r="Q438" s="12">
        <v>104</v>
      </c>
      <c r="R438" s="21"/>
      <c r="S438" s="21"/>
      <c r="T438" s="21"/>
      <c r="U438" s="21"/>
      <c r="V438" s="22"/>
    </row>
    <row r="439" spans="1:22" ht="15.75" customHeight="1" x14ac:dyDescent="0.25">
      <c r="A439" s="21" t="s">
        <v>1182</v>
      </c>
      <c r="C439" s="22" t="s">
        <v>283</v>
      </c>
      <c r="D439" s="23" t="s">
        <v>1175</v>
      </c>
      <c r="E439" s="21" t="s">
        <v>1183</v>
      </c>
      <c r="F439" s="21" t="s">
        <v>205</v>
      </c>
      <c r="G439" s="21" t="s">
        <v>30</v>
      </c>
      <c r="H439" s="21" t="s">
        <v>108</v>
      </c>
      <c r="I439" s="24" t="s">
        <v>499</v>
      </c>
      <c r="L439" s="13">
        <f ca="1">DATEDIF(J439, TODAY(), "m")</f>
        <v>1515</v>
      </c>
      <c r="M439" s="21" t="s">
        <v>1184</v>
      </c>
      <c r="O439" s="21" t="s">
        <v>1177</v>
      </c>
      <c r="Q439" s="12">
        <v>104</v>
      </c>
    </row>
    <row r="440" spans="1:22" ht="15.75" customHeight="1" x14ac:dyDescent="0.25">
      <c r="A440" s="20" t="s">
        <v>1185</v>
      </c>
      <c r="C440" s="22" t="s">
        <v>283</v>
      </c>
      <c r="D440" s="26" t="s">
        <v>1175</v>
      </c>
      <c r="E440" s="20" t="s">
        <v>1186</v>
      </c>
      <c r="F440" s="20" t="s">
        <v>205</v>
      </c>
      <c r="G440" s="20" t="s">
        <v>30</v>
      </c>
      <c r="H440" s="20" t="s">
        <v>108</v>
      </c>
      <c r="I440" s="24" t="s">
        <v>625</v>
      </c>
      <c r="L440" s="13">
        <f ca="1">DATEDIF(J440, TODAY(), "m")</f>
        <v>1515</v>
      </c>
      <c r="N440" s="20"/>
      <c r="O440" s="21" t="s">
        <v>1177</v>
      </c>
      <c r="Q440" s="12">
        <v>104</v>
      </c>
    </row>
    <row r="441" spans="1:22" ht="15.75" customHeight="1" x14ac:dyDescent="0.25">
      <c r="A441" s="21" t="s">
        <v>1187</v>
      </c>
      <c r="C441" s="22" t="s">
        <v>283</v>
      </c>
      <c r="D441" s="23" t="s">
        <v>1175</v>
      </c>
      <c r="E441" s="21" t="s">
        <v>1188</v>
      </c>
      <c r="F441" s="21" t="s">
        <v>205</v>
      </c>
      <c r="G441" s="21" t="s">
        <v>30</v>
      </c>
      <c r="H441" s="21" t="s">
        <v>108</v>
      </c>
      <c r="I441" s="24" t="s">
        <v>499</v>
      </c>
      <c r="L441" s="13">
        <f ca="1">DATEDIF(J441, TODAY(), "m")</f>
        <v>1515</v>
      </c>
      <c r="M441" s="21" t="s">
        <v>1189</v>
      </c>
      <c r="O441" s="21" t="s">
        <v>1177</v>
      </c>
      <c r="Q441" s="12">
        <v>104</v>
      </c>
    </row>
    <row r="442" spans="1:22" s="15" customFormat="1" ht="15.75" customHeight="1" x14ac:dyDescent="0.25">
      <c r="A442" s="20" t="s">
        <v>1190</v>
      </c>
      <c r="B442" s="21"/>
      <c r="C442" s="22" t="s">
        <v>283</v>
      </c>
      <c r="D442" s="26" t="s">
        <v>1191</v>
      </c>
      <c r="E442" s="20" t="s">
        <v>1192</v>
      </c>
      <c r="F442" s="20" t="s">
        <v>205</v>
      </c>
      <c r="G442" s="20" t="s">
        <v>30</v>
      </c>
      <c r="H442" s="20" t="s">
        <v>100</v>
      </c>
      <c r="I442" s="24" t="s">
        <v>171</v>
      </c>
      <c r="J442" s="25">
        <v>44866</v>
      </c>
      <c r="K442" s="25">
        <v>46327</v>
      </c>
      <c r="L442" s="13">
        <f ca="1">DATEDIF(J442, TODAY(), "m")</f>
        <v>41</v>
      </c>
      <c r="M442" s="25"/>
      <c r="N442" s="20" t="s">
        <v>1193</v>
      </c>
      <c r="O442" s="21"/>
      <c r="P442" s="21"/>
      <c r="Q442" s="12">
        <v>104</v>
      </c>
      <c r="R442" s="21" t="s">
        <v>88</v>
      </c>
      <c r="S442" s="21"/>
      <c r="T442" s="21"/>
      <c r="U442" s="21"/>
      <c r="V442" s="63"/>
    </row>
    <row r="443" spans="1:22" ht="15.75" customHeight="1" x14ac:dyDescent="0.25">
      <c r="A443" s="21" t="s">
        <v>1194</v>
      </c>
      <c r="C443" s="22" t="s">
        <v>283</v>
      </c>
      <c r="D443" s="23" t="s">
        <v>1172</v>
      </c>
      <c r="E443" s="21" t="s">
        <v>1195</v>
      </c>
      <c r="F443" s="21" t="s">
        <v>44</v>
      </c>
      <c r="G443" s="21" t="s">
        <v>30</v>
      </c>
      <c r="H443" s="21" t="s">
        <v>115</v>
      </c>
      <c r="I443" s="24" t="s">
        <v>786</v>
      </c>
      <c r="J443" s="25">
        <v>45245</v>
      </c>
      <c r="K443" s="25">
        <v>47072</v>
      </c>
      <c r="L443" s="13">
        <f ca="1">DATEDIF(J443, TODAY(), "m")</f>
        <v>28</v>
      </c>
      <c r="M443" s="25"/>
      <c r="Q443" s="12">
        <v>104</v>
      </c>
      <c r="R443" s="21" t="s">
        <v>88</v>
      </c>
      <c r="V443" s="63"/>
    </row>
    <row r="444" spans="1:22" ht="15.75" customHeight="1" x14ac:dyDescent="0.25">
      <c r="A444" s="21" t="s">
        <v>1196</v>
      </c>
      <c r="C444" s="22" t="s">
        <v>283</v>
      </c>
      <c r="D444" s="23" t="s">
        <v>1175</v>
      </c>
      <c r="E444" s="28" t="s">
        <v>1197</v>
      </c>
      <c r="F444" s="21">
        <v>2025</v>
      </c>
      <c r="G444" s="21" t="s">
        <v>30</v>
      </c>
      <c r="H444" s="21">
        <v>537</v>
      </c>
      <c r="I444" s="24" t="s">
        <v>95</v>
      </c>
      <c r="L444" s="13">
        <f ca="1">DATEDIF(J444, TODAY(), "m")</f>
        <v>1515</v>
      </c>
      <c r="O444" s="21" t="s">
        <v>1177</v>
      </c>
      <c r="Q444" s="12">
        <v>104</v>
      </c>
    </row>
    <row r="445" spans="1:22" s="15" customFormat="1" ht="15.75" customHeight="1" x14ac:dyDescent="0.25">
      <c r="A445" s="21" t="s">
        <v>1198</v>
      </c>
      <c r="B445" s="21"/>
      <c r="C445" s="22" t="s">
        <v>283</v>
      </c>
      <c r="D445" s="23" t="s">
        <v>1175</v>
      </c>
      <c r="E445" s="28" t="s">
        <v>1199</v>
      </c>
      <c r="F445" s="21">
        <v>2025</v>
      </c>
      <c r="G445" s="21" t="s">
        <v>30</v>
      </c>
      <c r="H445" s="21">
        <v>537</v>
      </c>
      <c r="I445" s="24" t="s">
        <v>95</v>
      </c>
      <c r="J445" s="21"/>
      <c r="K445" s="21"/>
      <c r="L445" s="13">
        <f ca="1">DATEDIF(J445, TODAY(), "m")</f>
        <v>1515</v>
      </c>
      <c r="M445" s="21"/>
      <c r="N445" s="21"/>
      <c r="O445" s="21" t="s">
        <v>1177</v>
      </c>
      <c r="P445" s="21"/>
      <c r="Q445" s="12">
        <v>104</v>
      </c>
      <c r="R445" s="21"/>
      <c r="S445" s="21"/>
      <c r="T445" s="21"/>
      <c r="U445" s="21"/>
      <c r="V445" s="22"/>
    </row>
    <row r="446" spans="1:22" ht="15.75" customHeight="1" x14ac:dyDescent="0.25">
      <c r="A446" s="21" t="s">
        <v>1200</v>
      </c>
      <c r="C446" s="22" t="s">
        <v>283</v>
      </c>
      <c r="D446" s="23" t="s">
        <v>1175</v>
      </c>
      <c r="E446" s="27" t="s">
        <v>1201</v>
      </c>
      <c r="F446" s="21">
        <v>2025</v>
      </c>
      <c r="G446" s="21" t="s">
        <v>30</v>
      </c>
      <c r="H446" s="21">
        <v>567</v>
      </c>
      <c r="I446" s="24" t="s">
        <v>654</v>
      </c>
      <c r="L446" s="13">
        <f ca="1">DATEDIF(J446, TODAY(), "m")</f>
        <v>1515</v>
      </c>
      <c r="O446" s="21" t="s">
        <v>1177</v>
      </c>
      <c r="Q446" s="12">
        <v>104</v>
      </c>
      <c r="V446" s="22" t="s">
        <v>1202</v>
      </c>
    </row>
    <row r="447" spans="1:22" ht="15.75" customHeight="1" x14ac:dyDescent="0.25">
      <c r="A447" s="21" t="s">
        <v>1203</v>
      </c>
      <c r="C447" s="22" t="s">
        <v>283</v>
      </c>
      <c r="D447" s="23" t="s">
        <v>1175</v>
      </c>
      <c r="E447" s="27" t="s">
        <v>1204</v>
      </c>
      <c r="F447" s="21">
        <v>2025</v>
      </c>
      <c r="G447" s="21" t="s">
        <v>30</v>
      </c>
      <c r="H447" s="21">
        <v>567</v>
      </c>
      <c r="I447" s="24" t="s">
        <v>654</v>
      </c>
      <c r="L447" s="13">
        <f ca="1">DATEDIF(J447, TODAY(), "m")</f>
        <v>1515</v>
      </c>
      <c r="O447" s="21" t="s">
        <v>1177</v>
      </c>
      <c r="Q447" s="12">
        <v>104</v>
      </c>
      <c r="V447" s="22" t="s">
        <v>1205</v>
      </c>
    </row>
    <row r="448" spans="1:22" ht="15.75" customHeight="1" x14ac:dyDescent="0.25">
      <c r="A448" s="20" t="s">
        <v>1206</v>
      </c>
      <c r="C448" s="22" t="s">
        <v>283</v>
      </c>
      <c r="D448" s="26" t="s">
        <v>1207</v>
      </c>
      <c r="E448" s="27" t="s">
        <v>1208</v>
      </c>
      <c r="F448" s="20">
        <v>2025</v>
      </c>
      <c r="G448" s="20" t="s">
        <v>30</v>
      </c>
      <c r="H448" s="20" t="s">
        <v>115</v>
      </c>
      <c r="I448" s="24" t="s">
        <v>1209</v>
      </c>
      <c r="L448" s="13">
        <f ca="1">DATEDIF(J448, TODAY(), "m")</f>
        <v>1515</v>
      </c>
      <c r="N448" s="20"/>
      <c r="Q448" s="12">
        <v>104</v>
      </c>
      <c r="S448" s="21" t="s">
        <v>88</v>
      </c>
    </row>
    <row r="449" spans="1:22" ht="15.75" customHeight="1" x14ac:dyDescent="0.25">
      <c r="A449" s="20" t="s">
        <v>1210</v>
      </c>
      <c r="C449" s="22" t="s">
        <v>283</v>
      </c>
      <c r="D449" s="26" t="s">
        <v>1207</v>
      </c>
      <c r="E449" s="27" t="s">
        <v>1211</v>
      </c>
      <c r="F449" s="20">
        <v>2025</v>
      </c>
      <c r="G449" s="20" t="s">
        <v>30</v>
      </c>
      <c r="H449" s="20" t="s">
        <v>115</v>
      </c>
      <c r="I449" s="24" t="s">
        <v>1209</v>
      </c>
      <c r="L449" s="13">
        <f ca="1">DATEDIF(J449, TODAY(), "m")</f>
        <v>1515</v>
      </c>
      <c r="N449" s="20"/>
      <c r="Q449" s="12">
        <v>104</v>
      </c>
      <c r="S449" s="21" t="s">
        <v>88</v>
      </c>
    </row>
    <row r="450" spans="1:22" ht="15.75" customHeight="1" x14ac:dyDescent="0.25">
      <c r="A450" s="20" t="s">
        <v>1212</v>
      </c>
      <c r="C450" s="22" t="s">
        <v>283</v>
      </c>
      <c r="D450" s="26" t="s">
        <v>1207</v>
      </c>
      <c r="E450" s="27" t="s">
        <v>1213</v>
      </c>
      <c r="F450" s="20">
        <v>2025</v>
      </c>
      <c r="G450" s="20" t="s">
        <v>30</v>
      </c>
      <c r="H450" s="20" t="s">
        <v>115</v>
      </c>
      <c r="I450" s="24" t="s">
        <v>1209</v>
      </c>
      <c r="L450" s="13">
        <f ca="1">DATEDIF(J450, TODAY(), "m")</f>
        <v>1515</v>
      </c>
      <c r="N450" s="20"/>
      <c r="Q450" s="12">
        <v>104</v>
      </c>
      <c r="S450" s="21" t="s">
        <v>88</v>
      </c>
    </row>
    <row r="451" spans="1:22" ht="15.75" customHeight="1" x14ac:dyDescent="0.25">
      <c r="A451" s="20" t="s">
        <v>1214</v>
      </c>
      <c r="C451" s="22" t="s">
        <v>283</v>
      </c>
      <c r="D451" s="26" t="s">
        <v>1207</v>
      </c>
      <c r="E451" s="27" t="s">
        <v>1215</v>
      </c>
      <c r="F451" s="20">
        <v>2025</v>
      </c>
      <c r="G451" s="20" t="s">
        <v>30</v>
      </c>
      <c r="H451" s="20" t="s">
        <v>115</v>
      </c>
      <c r="I451" s="24" t="s">
        <v>1209</v>
      </c>
      <c r="L451" s="13">
        <f ca="1">DATEDIF(J451, TODAY(), "m")</f>
        <v>1515</v>
      </c>
      <c r="N451" s="20"/>
      <c r="Q451" s="12">
        <v>104</v>
      </c>
      <c r="S451" s="21" t="s">
        <v>88</v>
      </c>
    </row>
    <row r="452" spans="1:22" ht="15.75" customHeight="1" x14ac:dyDescent="0.25">
      <c r="A452" s="20" t="s">
        <v>1216</v>
      </c>
      <c r="C452" s="22" t="s">
        <v>283</v>
      </c>
      <c r="D452" s="26" t="s">
        <v>1207</v>
      </c>
      <c r="E452" s="27" t="s">
        <v>1217</v>
      </c>
      <c r="F452" s="20">
        <v>2025</v>
      </c>
      <c r="G452" s="20" t="s">
        <v>30</v>
      </c>
      <c r="H452" s="20" t="s">
        <v>115</v>
      </c>
      <c r="I452" s="24" t="s">
        <v>1209</v>
      </c>
      <c r="L452" s="13">
        <f ca="1">DATEDIF(J452, TODAY(), "m")</f>
        <v>1515</v>
      </c>
      <c r="N452" s="20"/>
      <c r="Q452" s="12">
        <v>104</v>
      </c>
      <c r="S452" s="21" t="s">
        <v>88</v>
      </c>
    </row>
    <row r="453" spans="1:22" ht="15.75" customHeight="1" x14ac:dyDescent="0.25">
      <c r="A453" s="20" t="s">
        <v>1218</v>
      </c>
      <c r="C453" s="22" t="s">
        <v>283</v>
      </c>
      <c r="D453" s="26" t="s">
        <v>1207</v>
      </c>
      <c r="E453" s="28" t="s">
        <v>1219</v>
      </c>
      <c r="F453" s="20">
        <v>2025</v>
      </c>
      <c r="G453" s="20" t="s">
        <v>30</v>
      </c>
      <c r="H453" s="20" t="s">
        <v>115</v>
      </c>
      <c r="I453" s="24" t="s">
        <v>1209</v>
      </c>
      <c r="L453" s="13">
        <f ca="1">DATEDIF(J453, TODAY(), "m")</f>
        <v>1515</v>
      </c>
      <c r="N453" s="20"/>
      <c r="Q453" s="12">
        <v>104</v>
      </c>
      <c r="S453" s="21" t="s">
        <v>88</v>
      </c>
    </row>
    <row r="454" spans="1:22" ht="15.75" customHeight="1" x14ac:dyDescent="0.25">
      <c r="A454" s="20" t="s">
        <v>1220</v>
      </c>
      <c r="C454" s="22" t="s">
        <v>283</v>
      </c>
      <c r="D454" s="26" t="s">
        <v>1207</v>
      </c>
      <c r="E454" s="28" t="s">
        <v>1221</v>
      </c>
      <c r="F454" s="20">
        <v>2025</v>
      </c>
      <c r="G454" s="20" t="s">
        <v>30</v>
      </c>
      <c r="H454" s="20" t="s">
        <v>115</v>
      </c>
      <c r="I454" s="24" t="s">
        <v>1209</v>
      </c>
      <c r="L454" s="13">
        <f ca="1">DATEDIF(J454, TODAY(), "m")</f>
        <v>1515</v>
      </c>
      <c r="N454" s="20"/>
      <c r="Q454" s="12">
        <v>104</v>
      </c>
      <c r="S454" s="21" t="s">
        <v>88</v>
      </c>
      <c r="V454" s="63"/>
    </row>
    <row r="455" spans="1:22" ht="15.75" customHeight="1" x14ac:dyDescent="0.25">
      <c r="A455" s="20" t="s">
        <v>1222</v>
      </c>
      <c r="C455" s="22" t="s">
        <v>283</v>
      </c>
      <c r="D455" s="26" t="s">
        <v>1207</v>
      </c>
      <c r="E455" s="28" t="s">
        <v>1223</v>
      </c>
      <c r="F455" s="20">
        <v>2025</v>
      </c>
      <c r="G455" s="20" t="s">
        <v>30</v>
      </c>
      <c r="H455" s="20" t="s">
        <v>115</v>
      </c>
      <c r="I455" s="24" t="s">
        <v>1209</v>
      </c>
      <c r="L455" s="13">
        <f ca="1">DATEDIF(J455, TODAY(), "m")</f>
        <v>1515</v>
      </c>
      <c r="N455" s="20"/>
      <c r="Q455" s="12">
        <v>104</v>
      </c>
      <c r="S455" s="21" t="s">
        <v>88</v>
      </c>
    </row>
    <row r="456" spans="1:22" ht="15.75" customHeight="1" x14ac:dyDescent="0.25">
      <c r="A456" s="20" t="s">
        <v>1224</v>
      </c>
      <c r="C456" s="22" t="s">
        <v>283</v>
      </c>
      <c r="D456" s="26" t="s">
        <v>1207</v>
      </c>
      <c r="E456" s="28" t="s">
        <v>1225</v>
      </c>
      <c r="F456" s="20">
        <v>2026</v>
      </c>
      <c r="G456" s="20" t="s">
        <v>30</v>
      </c>
      <c r="H456" s="20">
        <v>567</v>
      </c>
      <c r="I456" s="24"/>
      <c r="L456" s="13">
        <f ca="1">DATEDIF(J456, TODAY(), "m")</f>
        <v>1515</v>
      </c>
      <c r="N456" s="20"/>
      <c r="Q456" s="12">
        <v>104</v>
      </c>
      <c r="V456" s="22" t="s">
        <v>1226</v>
      </c>
    </row>
    <row r="457" spans="1:22" ht="15.75" customHeight="1" x14ac:dyDescent="0.25">
      <c r="A457" s="20" t="s">
        <v>1227</v>
      </c>
      <c r="C457" s="22" t="s">
        <v>283</v>
      </c>
      <c r="D457" s="26" t="s">
        <v>1228</v>
      </c>
      <c r="E457" s="20" t="s">
        <v>1229</v>
      </c>
      <c r="F457" s="20" t="s">
        <v>84</v>
      </c>
      <c r="G457" s="20" t="s">
        <v>30</v>
      </c>
      <c r="H457" s="20" t="s">
        <v>31</v>
      </c>
      <c r="I457" s="24" t="s">
        <v>860</v>
      </c>
      <c r="J457" s="25">
        <v>43161</v>
      </c>
      <c r="K457" s="27"/>
      <c r="L457" s="13">
        <f ca="1">DATEDIF(J457, TODAY(), "m")</f>
        <v>97</v>
      </c>
      <c r="M457" s="27"/>
      <c r="N457" s="20"/>
      <c r="P457" s="27" t="s">
        <v>1230</v>
      </c>
      <c r="Q457" s="12">
        <v>104</v>
      </c>
      <c r="R457" s="21" t="s">
        <v>1231</v>
      </c>
      <c r="S457" s="21" t="s">
        <v>88</v>
      </c>
      <c r="V457" s="22" t="s">
        <v>1226</v>
      </c>
    </row>
    <row r="458" spans="1:22" ht="15.75" customHeight="1" x14ac:dyDescent="0.25">
      <c r="A458" s="21" t="s">
        <v>1232</v>
      </c>
      <c r="C458" s="22" t="s">
        <v>283</v>
      </c>
      <c r="D458" s="23" t="s">
        <v>1228</v>
      </c>
      <c r="E458" s="21" t="s">
        <v>1233</v>
      </c>
      <c r="F458" s="21" t="s">
        <v>29</v>
      </c>
      <c r="G458" s="21" t="s">
        <v>30</v>
      </c>
      <c r="H458" s="21" t="s">
        <v>31</v>
      </c>
      <c r="I458" s="24" t="s">
        <v>1234</v>
      </c>
      <c r="J458" s="25">
        <v>43525</v>
      </c>
      <c r="K458" s="25">
        <v>45717</v>
      </c>
      <c r="L458" s="13">
        <f ca="1">DATEDIF(J458, TODAY(), "m")</f>
        <v>85</v>
      </c>
      <c r="M458" s="25"/>
      <c r="P458" s="27" t="s">
        <v>1235</v>
      </c>
      <c r="Q458" s="12">
        <v>104</v>
      </c>
      <c r="R458" s="21" t="s">
        <v>89</v>
      </c>
      <c r="S458" s="21" t="s">
        <v>88</v>
      </c>
      <c r="T458" s="21" t="s">
        <v>1236</v>
      </c>
    </row>
    <row r="459" spans="1:22" ht="15.75" customHeight="1" x14ac:dyDescent="0.25">
      <c r="A459" s="15" t="s">
        <v>1237</v>
      </c>
      <c r="B459" s="15"/>
      <c r="C459" s="22" t="s">
        <v>81</v>
      </c>
      <c r="D459" s="17" t="s">
        <v>1238</v>
      </c>
      <c r="E459" s="15" t="s">
        <v>1239</v>
      </c>
      <c r="F459" s="15" t="s">
        <v>29</v>
      </c>
      <c r="G459" s="15" t="s">
        <v>30</v>
      </c>
      <c r="H459" s="15" t="s">
        <v>85</v>
      </c>
      <c r="I459" s="15" t="s">
        <v>502</v>
      </c>
      <c r="J459" s="29">
        <v>43830</v>
      </c>
      <c r="K459" s="29">
        <v>46538</v>
      </c>
      <c r="L459" s="13">
        <f ca="1">DATEDIF(J459, TODAY(), "m")</f>
        <v>75</v>
      </c>
      <c r="M459" s="29"/>
      <c r="N459" s="15"/>
      <c r="O459" s="15"/>
      <c r="P459" s="18" t="s">
        <v>1240</v>
      </c>
      <c r="Q459" s="12">
        <v>104</v>
      </c>
      <c r="R459" s="15"/>
      <c r="S459" s="15"/>
      <c r="T459" s="15"/>
      <c r="U459" s="15"/>
      <c r="V459" s="16"/>
    </row>
    <row r="460" spans="1:22" ht="15.75" customHeight="1" x14ac:dyDescent="0.25">
      <c r="A460" s="21" t="s">
        <v>1241</v>
      </c>
      <c r="C460" s="22" t="s">
        <v>81</v>
      </c>
      <c r="D460" s="23" t="s">
        <v>1238</v>
      </c>
      <c r="E460" s="21" t="s">
        <v>1242</v>
      </c>
      <c r="F460" s="21" t="s">
        <v>29</v>
      </c>
      <c r="G460" s="21" t="s">
        <v>30</v>
      </c>
      <c r="H460" s="21" t="s">
        <v>85</v>
      </c>
      <c r="I460" s="24" t="s">
        <v>502</v>
      </c>
      <c r="J460" s="25">
        <v>43830</v>
      </c>
      <c r="K460" s="25">
        <v>46446</v>
      </c>
      <c r="L460" s="13">
        <f ca="1">DATEDIF(J460, TODAY(), "m")</f>
        <v>75</v>
      </c>
      <c r="M460" s="25"/>
      <c r="P460" s="27" t="s">
        <v>1243</v>
      </c>
      <c r="Q460" s="12">
        <v>104</v>
      </c>
    </row>
    <row r="461" spans="1:22" ht="15.75" customHeight="1" x14ac:dyDescent="0.25">
      <c r="A461" s="20" t="s">
        <v>1244</v>
      </c>
      <c r="C461" s="22" t="s">
        <v>81</v>
      </c>
      <c r="D461" s="26" t="s">
        <v>1238</v>
      </c>
      <c r="E461" s="20" t="s">
        <v>1245</v>
      </c>
      <c r="F461" s="20" t="s">
        <v>29</v>
      </c>
      <c r="G461" s="20" t="s">
        <v>30</v>
      </c>
      <c r="H461" s="20" t="s">
        <v>85</v>
      </c>
      <c r="I461" s="24" t="s">
        <v>502</v>
      </c>
      <c r="J461" s="25">
        <v>43830</v>
      </c>
      <c r="K461" s="25">
        <v>46538</v>
      </c>
      <c r="L461" s="13">
        <f ca="1">DATEDIF(J461, TODAY(), "m")</f>
        <v>75</v>
      </c>
      <c r="M461" s="25"/>
      <c r="N461" s="20"/>
      <c r="P461" s="27" t="s">
        <v>1246</v>
      </c>
      <c r="Q461" s="12">
        <v>104</v>
      </c>
    </row>
    <row r="462" spans="1:22" ht="15.75" customHeight="1" x14ac:dyDescent="0.25">
      <c r="A462" s="15" t="s">
        <v>1247</v>
      </c>
      <c r="B462" s="15"/>
      <c r="C462" s="22" t="s">
        <v>81</v>
      </c>
      <c r="D462" s="17" t="s">
        <v>1238</v>
      </c>
      <c r="E462" s="15" t="s">
        <v>1248</v>
      </c>
      <c r="F462" s="15" t="s">
        <v>29</v>
      </c>
      <c r="G462" s="15" t="s">
        <v>30</v>
      </c>
      <c r="H462" s="15" t="s">
        <v>85</v>
      </c>
      <c r="I462" s="15" t="s">
        <v>502</v>
      </c>
      <c r="J462" s="29">
        <v>43830</v>
      </c>
      <c r="K462" s="29">
        <v>46538</v>
      </c>
      <c r="L462" s="13">
        <f ca="1">DATEDIF(J462, TODAY(), "m")</f>
        <v>75</v>
      </c>
      <c r="M462" s="29"/>
      <c r="N462" s="15"/>
      <c r="O462" s="15"/>
      <c r="P462" s="18" t="s">
        <v>1249</v>
      </c>
      <c r="Q462" s="12">
        <v>104</v>
      </c>
      <c r="R462" s="15"/>
      <c r="S462" s="15"/>
      <c r="T462" s="15"/>
      <c r="U462" s="15"/>
      <c r="V462" s="16"/>
    </row>
    <row r="463" spans="1:22" ht="15.75" customHeight="1" x14ac:dyDescent="0.25">
      <c r="A463" s="20" t="s">
        <v>1250</v>
      </c>
      <c r="C463" s="22" t="s">
        <v>81</v>
      </c>
      <c r="D463" s="26" t="s">
        <v>1238</v>
      </c>
      <c r="E463" s="20" t="s">
        <v>1251</v>
      </c>
      <c r="F463" s="20" t="s">
        <v>29</v>
      </c>
      <c r="G463" s="20" t="s">
        <v>30</v>
      </c>
      <c r="H463" s="20" t="s">
        <v>85</v>
      </c>
      <c r="I463" s="24"/>
      <c r="J463" s="25">
        <v>43830</v>
      </c>
      <c r="K463" s="25">
        <v>46538</v>
      </c>
      <c r="L463" s="13">
        <f ca="1">DATEDIF(J463, TODAY(), "m")</f>
        <v>75</v>
      </c>
      <c r="M463" s="25"/>
      <c r="N463" s="20"/>
      <c r="P463" s="27" t="s">
        <v>1252</v>
      </c>
      <c r="Q463" s="12">
        <v>104</v>
      </c>
    </row>
    <row r="464" spans="1:22" ht="15.75" customHeight="1" x14ac:dyDescent="0.25">
      <c r="A464" s="21" t="s">
        <v>1253</v>
      </c>
      <c r="C464" s="22" t="s">
        <v>81</v>
      </c>
      <c r="D464" s="23" t="s">
        <v>1238</v>
      </c>
      <c r="E464" s="21" t="s">
        <v>1254</v>
      </c>
      <c r="F464" s="21" t="s">
        <v>29</v>
      </c>
      <c r="G464" s="21" t="s">
        <v>30</v>
      </c>
      <c r="H464" s="21" t="s">
        <v>85</v>
      </c>
      <c r="I464" s="24"/>
      <c r="J464" s="25">
        <v>43830</v>
      </c>
      <c r="K464" s="25">
        <v>46446</v>
      </c>
      <c r="L464" s="13">
        <f ca="1">DATEDIF(J464, TODAY(), "m")</f>
        <v>75</v>
      </c>
      <c r="M464" s="25"/>
      <c r="P464" s="27" t="s">
        <v>1255</v>
      </c>
      <c r="Q464" s="12">
        <v>104</v>
      </c>
    </row>
    <row r="465" spans="1:21" ht="15.75" customHeight="1" x14ac:dyDescent="0.25">
      <c r="A465" s="20" t="s">
        <v>1256</v>
      </c>
      <c r="C465" s="22" t="s">
        <v>81</v>
      </c>
      <c r="D465" s="26" t="s">
        <v>1238</v>
      </c>
      <c r="E465" s="20" t="s">
        <v>1257</v>
      </c>
      <c r="F465" s="20" t="s">
        <v>29</v>
      </c>
      <c r="G465" s="20" t="s">
        <v>30</v>
      </c>
      <c r="H465" s="20" t="s">
        <v>85</v>
      </c>
      <c r="I465" s="24" t="s">
        <v>692</v>
      </c>
      <c r="J465" s="25">
        <v>43830</v>
      </c>
      <c r="K465" s="25">
        <v>46446</v>
      </c>
      <c r="L465" s="13">
        <f ca="1">DATEDIF(J465, TODAY(), "m")</f>
        <v>75</v>
      </c>
      <c r="M465" s="25"/>
      <c r="N465" s="20"/>
      <c r="P465" s="27" t="s">
        <v>1258</v>
      </c>
      <c r="Q465" s="12">
        <v>104</v>
      </c>
    </row>
    <row r="466" spans="1:21" ht="15.75" customHeight="1" x14ac:dyDescent="0.25">
      <c r="A466" s="20" t="s">
        <v>1259</v>
      </c>
      <c r="C466" s="22" t="s">
        <v>283</v>
      </c>
      <c r="D466" s="26" t="s">
        <v>1228</v>
      </c>
      <c r="E466" s="20" t="s">
        <v>1260</v>
      </c>
      <c r="F466" s="20" t="s">
        <v>39</v>
      </c>
      <c r="G466" s="20" t="s">
        <v>30</v>
      </c>
      <c r="H466" s="20" t="s">
        <v>31</v>
      </c>
      <c r="I466" s="24" t="s">
        <v>703</v>
      </c>
      <c r="J466" s="25">
        <v>44008</v>
      </c>
      <c r="K466" s="25">
        <v>46199</v>
      </c>
      <c r="L466" s="13">
        <f ca="1">DATEDIF(J466, TODAY(), "m")</f>
        <v>69</v>
      </c>
      <c r="M466" s="25"/>
      <c r="N466" s="20"/>
      <c r="P466" s="27" t="s">
        <v>1261</v>
      </c>
      <c r="Q466" s="12">
        <v>104</v>
      </c>
      <c r="R466" s="21" t="s">
        <v>89</v>
      </c>
      <c r="S466" s="21" t="s">
        <v>88</v>
      </c>
      <c r="T466" s="21" t="s">
        <v>1236</v>
      </c>
    </row>
    <row r="467" spans="1:21" ht="15.75" customHeight="1" x14ac:dyDescent="0.25">
      <c r="A467" s="21" t="s">
        <v>1262</v>
      </c>
      <c r="C467" s="22" t="s">
        <v>81</v>
      </c>
      <c r="D467" s="23" t="s">
        <v>1238</v>
      </c>
      <c r="E467" s="21" t="s">
        <v>1263</v>
      </c>
      <c r="F467" s="21" t="s">
        <v>205</v>
      </c>
      <c r="G467" s="21" t="s">
        <v>30</v>
      </c>
      <c r="H467" s="21" t="s">
        <v>85</v>
      </c>
      <c r="I467" s="24" t="s">
        <v>860</v>
      </c>
      <c r="J467" s="25">
        <v>44710</v>
      </c>
      <c r="K467" s="25">
        <v>47267</v>
      </c>
      <c r="L467" s="13">
        <f ca="1">DATEDIF(J467, TODAY(), "m")</f>
        <v>46</v>
      </c>
      <c r="M467" s="25"/>
      <c r="Q467" s="12">
        <v>104</v>
      </c>
      <c r="U467" s="21">
        <v>2107609853</v>
      </c>
    </row>
    <row r="468" spans="1:21" ht="15.75" customHeight="1" x14ac:dyDescent="0.25">
      <c r="A468" s="20" t="s">
        <v>1264</v>
      </c>
      <c r="C468" s="22" t="s">
        <v>81</v>
      </c>
      <c r="D468" s="26" t="s">
        <v>1238</v>
      </c>
      <c r="E468" s="20" t="s">
        <v>1265</v>
      </c>
      <c r="F468" s="20" t="s">
        <v>205</v>
      </c>
      <c r="G468" s="20" t="s">
        <v>30</v>
      </c>
      <c r="H468" s="20" t="s">
        <v>85</v>
      </c>
      <c r="I468" s="24" t="s">
        <v>860</v>
      </c>
      <c r="J468" s="25">
        <v>44710</v>
      </c>
      <c r="K468" s="25">
        <v>47267</v>
      </c>
      <c r="L468" s="13">
        <f ca="1">DATEDIF(J468, TODAY(), "m")</f>
        <v>46</v>
      </c>
      <c r="M468" s="25"/>
      <c r="N468" s="20"/>
      <c r="Q468" s="12">
        <v>104</v>
      </c>
    </row>
    <row r="469" spans="1:21" ht="15.75" customHeight="1" x14ac:dyDescent="0.25">
      <c r="A469" s="21" t="s">
        <v>1266</v>
      </c>
      <c r="C469" s="22" t="s">
        <v>81</v>
      </c>
      <c r="D469" s="23" t="s">
        <v>1238</v>
      </c>
      <c r="E469" s="21" t="s">
        <v>1267</v>
      </c>
      <c r="F469" s="21" t="s">
        <v>205</v>
      </c>
      <c r="G469" s="21" t="s">
        <v>30</v>
      </c>
      <c r="H469" s="21" t="s">
        <v>85</v>
      </c>
      <c r="I469" s="24" t="s">
        <v>860</v>
      </c>
      <c r="J469" s="25">
        <v>44710</v>
      </c>
      <c r="K469" s="25">
        <v>47267</v>
      </c>
      <c r="L469" s="13">
        <f ca="1">DATEDIF(J469, TODAY(), "m")</f>
        <v>46</v>
      </c>
      <c r="M469" s="25"/>
      <c r="Q469" s="12">
        <v>104</v>
      </c>
    </row>
    <row r="470" spans="1:21" ht="15.75" customHeight="1" x14ac:dyDescent="0.25">
      <c r="A470" s="20" t="s">
        <v>1268</v>
      </c>
      <c r="C470" s="22" t="s">
        <v>81</v>
      </c>
      <c r="D470" s="26" t="s">
        <v>1238</v>
      </c>
      <c r="E470" s="20" t="s">
        <v>1269</v>
      </c>
      <c r="F470" s="20" t="s">
        <v>205</v>
      </c>
      <c r="G470" s="20" t="s">
        <v>30</v>
      </c>
      <c r="H470" s="20" t="s">
        <v>85</v>
      </c>
      <c r="I470" s="24" t="s">
        <v>95</v>
      </c>
      <c r="J470" s="25">
        <v>44710</v>
      </c>
      <c r="K470" s="25">
        <v>47267</v>
      </c>
      <c r="L470" s="13">
        <f ca="1">DATEDIF(J470, TODAY(), "m")</f>
        <v>46</v>
      </c>
      <c r="M470" s="25"/>
      <c r="N470" s="20"/>
      <c r="Q470" s="12">
        <v>104</v>
      </c>
    </row>
    <row r="471" spans="1:21" ht="15.75" customHeight="1" x14ac:dyDescent="0.25">
      <c r="A471" s="21" t="s">
        <v>1270</v>
      </c>
      <c r="C471" s="22" t="s">
        <v>81</v>
      </c>
      <c r="D471" s="23" t="s">
        <v>1238</v>
      </c>
      <c r="E471" s="21" t="s">
        <v>1271</v>
      </c>
      <c r="F471" s="21" t="s">
        <v>205</v>
      </c>
      <c r="G471" s="21" t="s">
        <v>30</v>
      </c>
      <c r="H471" s="21" t="s">
        <v>108</v>
      </c>
      <c r="I471" s="24"/>
      <c r="J471" s="25">
        <v>44839</v>
      </c>
      <c r="K471" s="25">
        <v>47396</v>
      </c>
      <c r="L471" s="13">
        <f ca="1">DATEDIF(J471, TODAY(), "m")</f>
        <v>41</v>
      </c>
      <c r="M471" s="25"/>
      <c r="Q471" s="12">
        <v>104</v>
      </c>
    </row>
    <row r="472" spans="1:21" ht="15.75" customHeight="1" x14ac:dyDescent="0.25">
      <c r="A472" s="20" t="s">
        <v>1272</v>
      </c>
      <c r="C472" s="22" t="s">
        <v>81</v>
      </c>
      <c r="D472" s="26" t="s">
        <v>1238</v>
      </c>
      <c r="E472" s="20" t="s">
        <v>1273</v>
      </c>
      <c r="F472" s="20" t="s">
        <v>205</v>
      </c>
      <c r="G472" s="20" t="s">
        <v>30</v>
      </c>
      <c r="H472" s="20" t="s">
        <v>108</v>
      </c>
      <c r="I472" s="24" t="s">
        <v>703</v>
      </c>
      <c r="J472" s="25">
        <v>44839</v>
      </c>
      <c r="K472" s="25">
        <v>47396</v>
      </c>
      <c r="L472" s="13">
        <f ca="1">DATEDIF(J472, TODAY(), "m")</f>
        <v>41</v>
      </c>
      <c r="M472" s="25"/>
      <c r="N472" s="20"/>
      <c r="Q472" s="12">
        <v>104</v>
      </c>
    </row>
    <row r="473" spans="1:21" ht="15.75" customHeight="1" x14ac:dyDescent="0.25">
      <c r="A473" s="21" t="s">
        <v>1274</v>
      </c>
      <c r="C473" s="22" t="s">
        <v>283</v>
      </c>
      <c r="D473" s="23" t="s">
        <v>1228</v>
      </c>
      <c r="E473" s="21" t="s">
        <v>1275</v>
      </c>
      <c r="F473" s="21" t="s">
        <v>205</v>
      </c>
      <c r="G473" s="21" t="s">
        <v>30</v>
      </c>
      <c r="H473" s="21" t="s">
        <v>31</v>
      </c>
      <c r="I473" s="24" t="s">
        <v>536</v>
      </c>
      <c r="J473" s="25">
        <v>44775</v>
      </c>
      <c r="K473" s="25">
        <v>46967</v>
      </c>
      <c r="L473" s="13">
        <f ca="1">DATEDIF(J473, TODAY(), "m")</f>
        <v>44</v>
      </c>
      <c r="M473" s="25"/>
      <c r="Q473" s="12">
        <v>104</v>
      </c>
      <c r="R473" s="21" t="s">
        <v>89</v>
      </c>
      <c r="S473" s="21" t="s">
        <v>88</v>
      </c>
      <c r="T473" s="21" t="s">
        <v>1276</v>
      </c>
    </row>
    <row r="474" spans="1:21" ht="15.75" customHeight="1" x14ac:dyDescent="0.25">
      <c r="A474" s="20" t="s">
        <v>1277</v>
      </c>
      <c r="B474" s="21" t="s">
        <v>1278</v>
      </c>
      <c r="C474" s="22" t="s">
        <v>283</v>
      </c>
      <c r="D474" s="26" t="s">
        <v>1228</v>
      </c>
      <c r="E474" s="20" t="s">
        <v>1279</v>
      </c>
      <c r="F474" s="20" t="s">
        <v>205</v>
      </c>
      <c r="G474" s="20" t="s">
        <v>30</v>
      </c>
      <c r="H474" s="20" t="s">
        <v>31</v>
      </c>
      <c r="I474" s="24" t="s">
        <v>1280</v>
      </c>
      <c r="J474" s="25">
        <v>44866</v>
      </c>
      <c r="K474" s="25">
        <v>47058</v>
      </c>
      <c r="L474" s="13">
        <f ca="1">DATEDIF(J474, TODAY(), "m")</f>
        <v>41</v>
      </c>
      <c r="M474" s="25"/>
      <c r="N474" s="20"/>
      <c r="Q474" s="12">
        <v>104</v>
      </c>
      <c r="R474" s="21" t="s">
        <v>89</v>
      </c>
      <c r="S474" s="21" t="s">
        <v>88</v>
      </c>
      <c r="T474" s="21" t="s">
        <v>1276</v>
      </c>
    </row>
    <row r="475" spans="1:21" ht="15.75" customHeight="1" x14ac:dyDescent="0.25">
      <c r="A475" s="21" t="s">
        <v>1281</v>
      </c>
      <c r="C475" s="9" t="s">
        <v>23</v>
      </c>
      <c r="D475" s="23" t="s">
        <v>24</v>
      </c>
      <c r="E475" s="21" t="s">
        <v>1282</v>
      </c>
      <c r="F475" s="21" t="s">
        <v>205</v>
      </c>
      <c r="G475" s="21" t="s">
        <v>30</v>
      </c>
      <c r="H475" s="21" t="s">
        <v>31</v>
      </c>
      <c r="I475" s="24" t="s">
        <v>109</v>
      </c>
      <c r="J475" s="25">
        <v>44774</v>
      </c>
      <c r="K475" s="25">
        <v>46966</v>
      </c>
      <c r="L475" s="13">
        <f ca="1">DATEDIF(J475, TODAY(), "m")</f>
        <v>44</v>
      </c>
      <c r="M475" s="25"/>
      <c r="N475" s="20" t="s">
        <v>516</v>
      </c>
      <c r="Q475" s="12">
        <v>104</v>
      </c>
    </row>
    <row r="476" spans="1:21" ht="15.75" customHeight="1" x14ac:dyDescent="0.25">
      <c r="A476" s="20" t="s">
        <v>1283</v>
      </c>
      <c r="C476" s="9" t="s">
        <v>23</v>
      </c>
      <c r="D476" s="26" t="s">
        <v>24</v>
      </c>
      <c r="E476" s="20" t="s">
        <v>1284</v>
      </c>
      <c r="F476" s="20" t="s">
        <v>205</v>
      </c>
      <c r="G476" s="20" t="s">
        <v>30</v>
      </c>
      <c r="H476" s="20" t="s">
        <v>31</v>
      </c>
      <c r="I476" s="24" t="s">
        <v>109</v>
      </c>
      <c r="J476" s="25">
        <v>44774</v>
      </c>
      <c r="K476" s="25">
        <v>46966</v>
      </c>
      <c r="L476" s="13">
        <f ca="1">DATEDIF(J476, TODAY(), "m")</f>
        <v>44</v>
      </c>
      <c r="M476" s="25"/>
      <c r="N476" s="20" t="s">
        <v>516</v>
      </c>
      <c r="Q476" s="12">
        <v>104</v>
      </c>
    </row>
    <row r="477" spans="1:21" ht="15.75" customHeight="1" x14ac:dyDescent="0.25">
      <c r="A477" s="21" t="s">
        <v>1285</v>
      </c>
      <c r="C477" s="22" t="s">
        <v>81</v>
      </c>
      <c r="D477" s="23" t="s">
        <v>1286</v>
      </c>
      <c r="E477" s="21" t="s">
        <v>1287</v>
      </c>
      <c r="F477" s="21" t="s">
        <v>205</v>
      </c>
      <c r="G477" s="21" t="s">
        <v>30</v>
      </c>
      <c r="H477" s="21" t="s">
        <v>115</v>
      </c>
      <c r="I477" s="24" t="s">
        <v>171</v>
      </c>
      <c r="J477" s="25">
        <v>44838</v>
      </c>
      <c r="K477" s="25">
        <v>46664</v>
      </c>
      <c r="L477" s="13">
        <f ca="1">DATEDIF(J477, TODAY(), "m")</f>
        <v>41</v>
      </c>
      <c r="M477" s="25"/>
      <c r="P477" s="21" t="s">
        <v>1288</v>
      </c>
      <c r="Q477" s="12">
        <v>104</v>
      </c>
      <c r="R477" s="21" t="s">
        <v>595</v>
      </c>
    </row>
    <row r="478" spans="1:21" ht="15.75" customHeight="1" x14ac:dyDescent="0.25">
      <c r="A478" s="20" t="s">
        <v>1289</v>
      </c>
      <c r="C478" s="22" t="s">
        <v>81</v>
      </c>
      <c r="D478" s="26" t="s">
        <v>1238</v>
      </c>
      <c r="E478" s="20" t="s">
        <v>1290</v>
      </c>
      <c r="F478" s="20" t="s">
        <v>44</v>
      </c>
      <c r="G478" s="20" t="s">
        <v>30</v>
      </c>
      <c r="H478" s="20" t="s">
        <v>108</v>
      </c>
      <c r="I478" s="24" t="s">
        <v>1291</v>
      </c>
      <c r="J478" s="25">
        <v>45245</v>
      </c>
      <c r="K478" s="25">
        <v>47802</v>
      </c>
      <c r="L478" s="13">
        <f ca="1">DATEDIF(J478, TODAY(), "m")</f>
        <v>28</v>
      </c>
      <c r="M478" s="25"/>
      <c r="N478" s="20"/>
      <c r="Q478" s="12">
        <v>104</v>
      </c>
    </row>
    <row r="479" spans="1:21" ht="15.75" customHeight="1" x14ac:dyDescent="0.25">
      <c r="A479" s="21" t="s">
        <v>1292</v>
      </c>
      <c r="C479" s="22" t="s">
        <v>81</v>
      </c>
      <c r="D479" s="23" t="s">
        <v>1238</v>
      </c>
      <c r="E479" s="21" t="s">
        <v>1293</v>
      </c>
      <c r="F479" s="21" t="s">
        <v>44</v>
      </c>
      <c r="G479" s="21" t="s">
        <v>30</v>
      </c>
      <c r="H479" s="21" t="s">
        <v>108</v>
      </c>
      <c r="I479" s="24" t="s">
        <v>1291</v>
      </c>
      <c r="J479" s="25">
        <v>45245</v>
      </c>
      <c r="K479" s="25">
        <v>47802</v>
      </c>
      <c r="L479" s="13">
        <f ca="1">DATEDIF(J479, TODAY(), "m")</f>
        <v>28</v>
      </c>
      <c r="M479" s="25"/>
      <c r="Q479" s="12">
        <v>104</v>
      </c>
    </row>
    <row r="480" spans="1:21" ht="15.75" customHeight="1" x14ac:dyDescent="0.25">
      <c r="A480" s="20" t="s">
        <v>1294</v>
      </c>
      <c r="B480" s="21" t="s">
        <v>1278</v>
      </c>
      <c r="C480" s="22" t="s">
        <v>283</v>
      </c>
      <c r="D480" s="26" t="s">
        <v>1228</v>
      </c>
      <c r="E480" s="20" t="s">
        <v>1295</v>
      </c>
      <c r="F480" s="20" t="s">
        <v>44</v>
      </c>
      <c r="G480" s="20" t="s">
        <v>30</v>
      </c>
      <c r="H480" s="20" t="s">
        <v>31</v>
      </c>
      <c r="I480" s="24" t="s">
        <v>703</v>
      </c>
      <c r="J480" s="25">
        <v>45047</v>
      </c>
      <c r="K480" s="25">
        <v>47239</v>
      </c>
      <c r="L480" s="13">
        <f ca="1">DATEDIF(J480, TODAY(), "m")</f>
        <v>35</v>
      </c>
      <c r="M480" s="25"/>
      <c r="N480" s="20"/>
      <c r="Q480" s="12">
        <v>104</v>
      </c>
      <c r="R480" s="21" t="s">
        <v>89</v>
      </c>
      <c r="S480" s="21" t="s">
        <v>88</v>
      </c>
      <c r="T480" s="21" t="s">
        <v>1276</v>
      </c>
    </row>
    <row r="481" spans="1:22" ht="15.75" customHeight="1" x14ac:dyDescent="0.25">
      <c r="A481" s="21" t="s">
        <v>1296</v>
      </c>
      <c r="B481" s="21" t="s">
        <v>1278</v>
      </c>
      <c r="C481" s="22" t="s">
        <v>283</v>
      </c>
      <c r="D481" s="23" t="s">
        <v>1228</v>
      </c>
      <c r="E481" s="21" t="s">
        <v>1297</v>
      </c>
      <c r="F481" s="21" t="s">
        <v>44</v>
      </c>
      <c r="G481" s="21" t="s">
        <v>30</v>
      </c>
      <c r="H481" s="21" t="s">
        <v>31</v>
      </c>
      <c r="I481" s="24" t="s">
        <v>703</v>
      </c>
      <c r="J481" s="25">
        <v>45047</v>
      </c>
      <c r="K481" s="25">
        <v>47239</v>
      </c>
      <c r="L481" s="13">
        <f ca="1">DATEDIF(J481, TODAY(), "m")</f>
        <v>35</v>
      </c>
      <c r="M481" s="25"/>
      <c r="Q481" s="12">
        <v>104</v>
      </c>
      <c r="R481" s="21" t="s">
        <v>89</v>
      </c>
      <c r="S481" s="21" t="s">
        <v>88</v>
      </c>
      <c r="T481" s="21" t="s">
        <v>1276</v>
      </c>
    </row>
    <row r="482" spans="1:22" ht="15.75" customHeight="1" x14ac:dyDescent="0.25">
      <c r="A482" s="20" t="s">
        <v>1298</v>
      </c>
      <c r="B482" s="27"/>
      <c r="C482" s="22" t="s">
        <v>81</v>
      </c>
      <c r="D482" s="26" t="s">
        <v>1286</v>
      </c>
      <c r="E482" s="20" t="s">
        <v>1299</v>
      </c>
      <c r="F482" s="20" t="s">
        <v>44</v>
      </c>
      <c r="G482" s="20" t="s">
        <v>30</v>
      </c>
      <c r="H482" s="20" t="s">
        <v>31</v>
      </c>
      <c r="I482" s="24" t="s">
        <v>109</v>
      </c>
      <c r="J482" s="25">
        <v>45351</v>
      </c>
      <c r="K482" s="25">
        <v>47177</v>
      </c>
      <c r="L482" s="13">
        <f ca="1">DATEDIF(J482, TODAY(), "m")</f>
        <v>25</v>
      </c>
      <c r="M482" s="25"/>
      <c r="N482" s="20"/>
      <c r="P482" s="21" t="s">
        <v>1300</v>
      </c>
      <c r="Q482" s="12">
        <v>104</v>
      </c>
      <c r="R482" s="21" t="s">
        <v>595</v>
      </c>
    </row>
    <row r="483" spans="1:22" ht="15.75" customHeight="1" x14ac:dyDescent="0.25">
      <c r="A483" s="21" t="s">
        <v>1301</v>
      </c>
      <c r="C483" s="22" t="s">
        <v>283</v>
      </c>
      <c r="D483" s="26" t="s">
        <v>1228</v>
      </c>
      <c r="E483" s="21" t="s">
        <v>1302</v>
      </c>
      <c r="F483" s="21" t="s">
        <v>148</v>
      </c>
      <c r="G483" s="21" t="s">
        <v>30</v>
      </c>
      <c r="H483" s="21" t="s">
        <v>31</v>
      </c>
      <c r="I483" s="24" t="s">
        <v>860</v>
      </c>
      <c r="J483" s="25">
        <v>45458</v>
      </c>
      <c r="K483" s="25">
        <v>47649</v>
      </c>
      <c r="L483" s="13">
        <f ca="1">DATEDIF(J483, TODAY(), "m")</f>
        <v>21</v>
      </c>
      <c r="M483" s="25"/>
      <c r="Q483" s="12">
        <v>104</v>
      </c>
      <c r="R483" s="21" t="s">
        <v>89</v>
      </c>
      <c r="S483" s="21" t="s">
        <v>88</v>
      </c>
      <c r="T483" s="21" t="s">
        <v>1236</v>
      </c>
    </row>
    <row r="484" spans="1:22" ht="15.75" customHeight="1" x14ac:dyDescent="0.25">
      <c r="A484" s="20" t="s">
        <v>1303</v>
      </c>
      <c r="C484" s="22" t="s">
        <v>283</v>
      </c>
      <c r="D484" s="26" t="s">
        <v>1228</v>
      </c>
      <c r="E484" s="20" t="s">
        <v>1304</v>
      </c>
      <c r="F484" s="20" t="s">
        <v>148</v>
      </c>
      <c r="G484" s="20" t="s">
        <v>30</v>
      </c>
      <c r="H484" s="20" t="s">
        <v>31</v>
      </c>
      <c r="I484" s="24" t="s">
        <v>860</v>
      </c>
      <c r="J484" s="25">
        <v>45458</v>
      </c>
      <c r="K484" s="25">
        <v>47649</v>
      </c>
      <c r="L484" s="13">
        <f ca="1">DATEDIF(J484, TODAY(), "m")</f>
        <v>21</v>
      </c>
      <c r="M484" s="25"/>
      <c r="N484" s="20"/>
      <c r="Q484" s="12">
        <v>104</v>
      </c>
      <c r="R484" s="21" t="s">
        <v>89</v>
      </c>
      <c r="S484" s="21" t="s">
        <v>88</v>
      </c>
      <c r="T484" s="21" t="s">
        <v>1236</v>
      </c>
    </row>
    <row r="485" spans="1:22" ht="15.75" customHeight="1" x14ac:dyDescent="0.25">
      <c r="A485" s="21" t="s">
        <v>1305</v>
      </c>
      <c r="C485" s="22" t="s">
        <v>283</v>
      </c>
      <c r="D485" s="26" t="s">
        <v>1228</v>
      </c>
      <c r="E485" s="21" t="s">
        <v>1306</v>
      </c>
      <c r="F485" s="21" t="s">
        <v>148</v>
      </c>
      <c r="G485" s="21" t="s">
        <v>30</v>
      </c>
      <c r="H485" s="21" t="s">
        <v>31</v>
      </c>
      <c r="I485" s="24" t="s">
        <v>860</v>
      </c>
      <c r="J485" s="25">
        <v>45458</v>
      </c>
      <c r="K485" s="25">
        <v>47649</v>
      </c>
      <c r="L485" s="13">
        <f ca="1">DATEDIF(J485, TODAY(), "m")</f>
        <v>21</v>
      </c>
      <c r="M485" s="25"/>
      <c r="Q485" s="12">
        <v>104</v>
      </c>
      <c r="R485" s="21" t="s">
        <v>89</v>
      </c>
      <c r="S485" s="21" t="s">
        <v>88</v>
      </c>
      <c r="T485" s="21" t="s">
        <v>1236</v>
      </c>
    </row>
    <row r="486" spans="1:22" ht="15.75" customHeight="1" x14ac:dyDescent="0.25">
      <c r="A486" s="21" t="s">
        <v>1307</v>
      </c>
      <c r="C486" s="22" t="s">
        <v>81</v>
      </c>
      <c r="D486" s="23" t="s">
        <v>1238</v>
      </c>
      <c r="E486" s="28" t="s">
        <v>1308</v>
      </c>
      <c r="F486" s="21">
        <v>2025</v>
      </c>
      <c r="G486" s="21" t="s">
        <v>30</v>
      </c>
      <c r="H486" s="21">
        <v>536</v>
      </c>
      <c r="I486" s="24" t="s">
        <v>692</v>
      </c>
      <c r="J486" s="38">
        <v>45681</v>
      </c>
      <c r="L486" s="13">
        <f ca="1">DATEDIF(J486, TODAY(), "m")</f>
        <v>14</v>
      </c>
      <c r="Q486" s="12">
        <v>104</v>
      </c>
      <c r="U486" s="21">
        <v>2210669191</v>
      </c>
    </row>
    <row r="487" spans="1:22" ht="15.75" customHeight="1" x14ac:dyDescent="0.25">
      <c r="A487" s="21" t="s">
        <v>1309</v>
      </c>
      <c r="C487" s="22" t="s">
        <v>81</v>
      </c>
      <c r="D487" s="23" t="s">
        <v>1238</v>
      </c>
      <c r="E487" s="21" t="s">
        <v>1310</v>
      </c>
      <c r="F487" s="21">
        <v>2025</v>
      </c>
      <c r="G487" s="21" t="s">
        <v>30</v>
      </c>
      <c r="H487" s="21">
        <v>536</v>
      </c>
      <c r="I487" s="24"/>
      <c r="J487" s="38">
        <v>46009</v>
      </c>
      <c r="L487" s="13">
        <f ca="1">DATEDIF(J487, TODAY(), "m")</f>
        <v>3</v>
      </c>
      <c r="Q487" s="12">
        <v>104</v>
      </c>
      <c r="U487" s="38">
        <v>45940</v>
      </c>
    </row>
    <row r="488" spans="1:22" ht="15.75" customHeight="1" x14ac:dyDescent="0.25">
      <c r="A488" s="21" t="s">
        <v>1311</v>
      </c>
      <c r="C488" s="22" t="s">
        <v>81</v>
      </c>
      <c r="D488" s="23" t="s">
        <v>1238</v>
      </c>
      <c r="E488" s="21" t="s">
        <v>1312</v>
      </c>
      <c r="F488" s="21">
        <v>2025</v>
      </c>
      <c r="G488" s="21" t="s">
        <v>30</v>
      </c>
      <c r="H488" s="21">
        <v>536</v>
      </c>
      <c r="I488" s="24"/>
      <c r="J488" s="38">
        <v>46009</v>
      </c>
      <c r="L488" s="13">
        <f ca="1">DATEDIF(J488, TODAY(), "m")</f>
        <v>3</v>
      </c>
      <c r="Q488" s="12">
        <v>104</v>
      </c>
      <c r="V488" s="22" t="s">
        <v>1313</v>
      </c>
    </row>
    <row r="489" spans="1:22" ht="15.75" customHeight="1" x14ac:dyDescent="0.25">
      <c r="A489" s="21" t="s">
        <v>1314</v>
      </c>
      <c r="C489" s="22" t="s">
        <v>81</v>
      </c>
      <c r="D489" s="23" t="s">
        <v>1238</v>
      </c>
      <c r="E489" s="21" t="s">
        <v>1315</v>
      </c>
      <c r="F489" s="21">
        <v>2025</v>
      </c>
      <c r="G489" s="21" t="s">
        <v>30</v>
      </c>
      <c r="H489" s="21">
        <v>536</v>
      </c>
      <c r="I489" s="24"/>
      <c r="L489" s="13">
        <f ca="1">DATEDIF(J489, TODAY(), "m")</f>
        <v>1515</v>
      </c>
      <c r="Q489" s="12">
        <v>104</v>
      </c>
      <c r="V489" s="22" t="s">
        <v>1313</v>
      </c>
    </row>
    <row r="490" spans="1:22" ht="15.75" customHeight="1" x14ac:dyDescent="0.25">
      <c r="A490" s="21" t="s">
        <v>1316</v>
      </c>
      <c r="C490" s="22" t="s">
        <v>81</v>
      </c>
      <c r="D490" s="23" t="s">
        <v>1238</v>
      </c>
      <c r="E490" s="36" t="s">
        <v>1317</v>
      </c>
      <c r="F490" s="21">
        <v>2025</v>
      </c>
      <c r="G490" s="21" t="s">
        <v>30</v>
      </c>
      <c r="H490" s="21">
        <v>536</v>
      </c>
      <c r="I490" s="24"/>
      <c r="L490" s="13">
        <f ca="1">DATEDIF(J490, TODAY(), "m")</f>
        <v>1515</v>
      </c>
      <c r="Q490" s="12">
        <v>104</v>
      </c>
      <c r="V490" s="22" t="s">
        <v>1318</v>
      </c>
    </row>
    <row r="491" spans="1:22" ht="15.75" customHeight="1" x14ac:dyDescent="0.25">
      <c r="A491" s="21" t="s">
        <v>1319</v>
      </c>
      <c r="C491" s="22" t="s">
        <v>81</v>
      </c>
      <c r="D491" s="23" t="s">
        <v>1238</v>
      </c>
      <c r="E491" s="21" t="s">
        <v>1320</v>
      </c>
      <c r="F491" s="21">
        <v>2025</v>
      </c>
      <c r="G491" s="21" t="s">
        <v>30</v>
      </c>
      <c r="H491" s="21">
        <v>536</v>
      </c>
      <c r="I491" s="24"/>
      <c r="L491" s="13">
        <f ca="1">DATEDIF(J491, TODAY(), "m")</f>
        <v>1515</v>
      </c>
      <c r="Q491" s="12">
        <v>104</v>
      </c>
      <c r="V491" s="22" t="s">
        <v>1318</v>
      </c>
    </row>
    <row r="492" spans="1:22" ht="15.75" customHeight="1" x14ac:dyDescent="0.25">
      <c r="A492" s="21" t="s">
        <v>1321</v>
      </c>
      <c r="C492" s="22" t="s">
        <v>81</v>
      </c>
      <c r="D492" s="23" t="s">
        <v>1238</v>
      </c>
      <c r="E492" s="21" t="s">
        <v>1322</v>
      </c>
      <c r="F492" s="21">
        <v>2025</v>
      </c>
      <c r="G492" s="21" t="s">
        <v>30</v>
      </c>
      <c r="H492" s="21">
        <v>536</v>
      </c>
      <c r="I492" s="24"/>
      <c r="L492" s="13">
        <f ca="1">DATEDIF(J492, TODAY(), "m")</f>
        <v>1515</v>
      </c>
      <c r="Q492" s="12">
        <v>104</v>
      </c>
      <c r="V492" s="22" t="s">
        <v>1313</v>
      </c>
    </row>
    <row r="493" spans="1:22" ht="15.75" customHeight="1" x14ac:dyDescent="0.25">
      <c r="A493" s="21" t="s">
        <v>1323</v>
      </c>
      <c r="C493" s="22" t="s">
        <v>81</v>
      </c>
      <c r="D493" s="23" t="s">
        <v>1238</v>
      </c>
      <c r="E493" s="21" t="s">
        <v>1324</v>
      </c>
      <c r="F493" s="21">
        <v>2025</v>
      </c>
      <c r="G493" s="21" t="s">
        <v>30</v>
      </c>
      <c r="H493" s="21">
        <v>536</v>
      </c>
      <c r="I493" s="24"/>
      <c r="L493" s="13">
        <f ca="1">DATEDIF(J493, TODAY(), "m")</f>
        <v>1515</v>
      </c>
      <c r="Q493" s="12">
        <v>104</v>
      </c>
      <c r="U493" s="38">
        <v>45940</v>
      </c>
      <c r="V493" s="22" t="s">
        <v>1313</v>
      </c>
    </row>
    <row r="494" spans="1:22" ht="15.75" customHeight="1" x14ac:dyDescent="0.25">
      <c r="A494" s="21" t="s">
        <v>1325</v>
      </c>
      <c r="C494" s="22" t="s">
        <v>81</v>
      </c>
      <c r="D494" s="23" t="s">
        <v>1238</v>
      </c>
      <c r="E494" s="21" t="s">
        <v>1326</v>
      </c>
      <c r="F494" s="21">
        <v>2025</v>
      </c>
      <c r="G494" s="21" t="s">
        <v>30</v>
      </c>
      <c r="H494" s="21">
        <v>536</v>
      </c>
      <c r="I494" s="24"/>
      <c r="L494" s="13">
        <f ca="1">DATEDIF(J494, TODAY(), "m")</f>
        <v>1515</v>
      </c>
      <c r="Q494" s="12">
        <v>104</v>
      </c>
      <c r="U494" s="38">
        <v>45940</v>
      </c>
      <c r="V494" s="6" t="s">
        <v>1327</v>
      </c>
    </row>
    <row r="495" spans="1:22" ht="15.75" customHeight="1" x14ac:dyDescent="0.25">
      <c r="A495" s="21" t="s">
        <v>1328</v>
      </c>
      <c r="C495" s="22" t="s">
        <v>81</v>
      </c>
      <c r="D495" s="23" t="s">
        <v>1238</v>
      </c>
      <c r="E495" s="21" t="s">
        <v>1329</v>
      </c>
      <c r="F495" s="21">
        <v>2025</v>
      </c>
      <c r="G495" s="21" t="s">
        <v>30</v>
      </c>
      <c r="H495" s="21">
        <v>536</v>
      </c>
      <c r="I495" s="24"/>
      <c r="L495" s="13">
        <f ca="1">DATEDIF(J495, TODAY(), "m")</f>
        <v>1515</v>
      </c>
      <c r="Q495" s="12">
        <v>104</v>
      </c>
      <c r="V495" s="6" t="s">
        <v>1327</v>
      </c>
    </row>
    <row r="496" spans="1:22" ht="15.75" customHeight="1" x14ac:dyDescent="0.25">
      <c r="A496" s="21" t="s">
        <v>1330</v>
      </c>
      <c r="C496" s="22" t="s">
        <v>81</v>
      </c>
      <c r="D496" s="23" t="s">
        <v>1286</v>
      </c>
      <c r="E496" s="21" t="s">
        <v>1331</v>
      </c>
      <c r="F496" s="21">
        <v>2026</v>
      </c>
      <c r="G496" s="21" t="s">
        <v>26</v>
      </c>
      <c r="H496" s="21">
        <v>567</v>
      </c>
      <c r="I496" s="24"/>
      <c r="J496" s="38">
        <v>46078</v>
      </c>
      <c r="L496" s="13">
        <f ca="1">DATEDIF(J496, TODAY(), "m")</f>
        <v>1</v>
      </c>
      <c r="Q496" s="12">
        <v>104</v>
      </c>
      <c r="V496" s="6"/>
    </row>
    <row r="497" spans="1:21" ht="15.75" customHeight="1" x14ac:dyDescent="0.25">
      <c r="A497" s="21" t="s">
        <v>1332</v>
      </c>
      <c r="C497" s="22" t="s">
        <v>81</v>
      </c>
      <c r="D497" s="23" t="s">
        <v>98</v>
      </c>
      <c r="E497" s="28" t="s">
        <v>191</v>
      </c>
      <c r="I497" s="24"/>
      <c r="J497" s="25"/>
      <c r="K497" s="25"/>
      <c r="L497" s="13">
        <f ca="1">DATEDIF(J497, TODAY(), "m")</f>
        <v>1515</v>
      </c>
      <c r="M497" s="25"/>
      <c r="Q497" s="12">
        <v>104</v>
      </c>
    </row>
    <row r="498" spans="1:21" ht="15.75" customHeight="1" x14ac:dyDescent="0.25">
      <c r="A498" s="21" t="s">
        <v>1332</v>
      </c>
      <c r="C498" s="22" t="s">
        <v>81</v>
      </c>
      <c r="D498" s="23" t="s">
        <v>98</v>
      </c>
      <c r="E498" s="28" t="s">
        <v>1333</v>
      </c>
      <c r="I498" s="24"/>
      <c r="J498" s="25"/>
      <c r="K498" s="25"/>
      <c r="L498" s="13">
        <f ca="1">DATEDIF(J498, TODAY(), "m")</f>
        <v>1515</v>
      </c>
      <c r="M498" s="25"/>
      <c r="Q498" s="12">
        <v>104</v>
      </c>
    </row>
    <row r="499" spans="1:21" ht="15.75" customHeight="1" x14ac:dyDescent="0.25">
      <c r="A499" s="21" t="s">
        <v>1332</v>
      </c>
      <c r="C499" s="22" t="s">
        <v>81</v>
      </c>
      <c r="D499" s="23" t="s">
        <v>203</v>
      </c>
      <c r="E499" s="21" t="s">
        <v>1334</v>
      </c>
      <c r="I499" s="24"/>
      <c r="J499" s="25"/>
      <c r="K499" s="25"/>
      <c r="L499" s="13">
        <f ca="1">DATEDIF(J499, TODAY(), "m")</f>
        <v>1515</v>
      </c>
      <c r="M499" s="25"/>
      <c r="Q499" s="12">
        <v>104</v>
      </c>
    </row>
    <row r="500" spans="1:21" ht="15.75" customHeight="1" x14ac:dyDescent="0.25">
      <c r="A500" s="21" t="s">
        <v>1332</v>
      </c>
      <c r="C500" s="22" t="s">
        <v>283</v>
      </c>
      <c r="D500" s="23" t="s">
        <v>1175</v>
      </c>
      <c r="E500" s="27" t="s">
        <v>1335</v>
      </c>
      <c r="F500" s="21">
        <v>2025</v>
      </c>
      <c r="H500" s="21">
        <v>567</v>
      </c>
      <c r="I500" s="24"/>
      <c r="L500" s="13">
        <f ca="1">DATEDIF(J500, TODAY(), "m")</f>
        <v>1515</v>
      </c>
      <c r="O500" s="21" t="s">
        <v>1177</v>
      </c>
      <c r="Q500" s="12">
        <v>104</v>
      </c>
    </row>
    <row r="501" spans="1:21" ht="15.75" customHeight="1" x14ac:dyDescent="0.25">
      <c r="A501" s="21" t="s">
        <v>1332</v>
      </c>
      <c r="C501" s="22" t="s">
        <v>283</v>
      </c>
      <c r="D501" s="23" t="s">
        <v>1175</v>
      </c>
      <c r="E501" s="27" t="s">
        <v>1336</v>
      </c>
      <c r="F501" s="21">
        <v>2025</v>
      </c>
      <c r="G501" s="21" t="s">
        <v>30</v>
      </c>
      <c r="H501" s="21">
        <v>536</v>
      </c>
      <c r="I501" s="24"/>
      <c r="L501" s="13">
        <f ca="1">DATEDIF(J501, TODAY(), "m")</f>
        <v>1515</v>
      </c>
      <c r="O501" s="21" t="s">
        <v>1177</v>
      </c>
      <c r="Q501" s="12">
        <v>104</v>
      </c>
    </row>
    <row r="502" spans="1:21" ht="15.75" customHeight="1" x14ac:dyDescent="0.25">
      <c r="C502" s="22" t="s">
        <v>81</v>
      </c>
      <c r="D502" s="23" t="s">
        <v>977</v>
      </c>
      <c r="E502" s="21">
        <v>815868</v>
      </c>
      <c r="G502" s="21" t="s">
        <v>30</v>
      </c>
      <c r="H502" s="21">
        <v>567</v>
      </c>
      <c r="I502" s="24"/>
      <c r="L502" s="13">
        <f ca="1">DATEDIF(J502, TODAY(), "m")</f>
        <v>1515</v>
      </c>
      <c r="Q502" s="12">
        <v>104</v>
      </c>
    </row>
    <row r="503" spans="1:21" ht="15.75" customHeight="1" x14ac:dyDescent="0.25">
      <c r="A503" s="21" t="s">
        <v>420</v>
      </c>
      <c r="C503" s="22" t="s">
        <v>81</v>
      </c>
      <c r="D503" s="23" t="s">
        <v>356</v>
      </c>
      <c r="E503" s="40"/>
      <c r="G503" s="21" t="s">
        <v>30</v>
      </c>
      <c r="H503" s="21">
        <v>589</v>
      </c>
      <c r="I503" s="21"/>
      <c r="J503" s="38"/>
      <c r="L503" s="13"/>
      <c r="M503" s="27"/>
      <c r="N503" s="21">
        <v>4</v>
      </c>
      <c r="Q503" s="78"/>
    </row>
    <row r="504" spans="1:21" ht="15.75" customHeight="1" x14ac:dyDescent="0.25">
      <c r="A504" s="21" t="s">
        <v>421</v>
      </c>
      <c r="C504" s="22" t="s">
        <v>81</v>
      </c>
      <c r="D504" s="23" t="s">
        <v>356</v>
      </c>
      <c r="E504" s="40"/>
      <c r="G504" s="21" t="s">
        <v>30</v>
      </c>
      <c r="H504" s="21">
        <v>589</v>
      </c>
      <c r="I504" s="21"/>
      <c r="J504" s="38"/>
      <c r="L504" s="13"/>
      <c r="M504" s="27"/>
      <c r="N504" s="21">
        <v>4</v>
      </c>
      <c r="Q504" s="78"/>
    </row>
    <row r="505" spans="1:21" ht="15.75" customHeight="1" x14ac:dyDescent="0.25">
      <c r="A505" s="21" t="s">
        <v>422</v>
      </c>
      <c r="C505" s="22" t="s">
        <v>81</v>
      </c>
      <c r="D505" s="23" t="s">
        <v>356</v>
      </c>
      <c r="E505" s="40"/>
      <c r="G505" s="21" t="s">
        <v>1337</v>
      </c>
      <c r="H505" s="21" t="s">
        <v>1338</v>
      </c>
      <c r="I505" s="21"/>
      <c r="J505" s="38"/>
      <c r="L505" s="13"/>
      <c r="M505" s="27"/>
      <c r="N505" s="21">
        <v>5</v>
      </c>
      <c r="Q505" s="78"/>
    </row>
    <row r="506" spans="1:21" ht="15.75" customHeight="1" x14ac:dyDescent="0.25">
      <c r="A506" s="21" t="s">
        <v>423</v>
      </c>
      <c r="C506" s="22" t="s">
        <v>81</v>
      </c>
      <c r="D506" s="23" t="s">
        <v>356</v>
      </c>
      <c r="E506" s="40"/>
      <c r="G506" s="21" t="s">
        <v>1337</v>
      </c>
      <c r="H506" s="21" t="s">
        <v>1338</v>
      </c>
      <c r="I506" s="21"/>
      <c r="J506" s="38"/>
      <c r="L506" s="13"/>
      <c r="M506" s="27"/>
      <c r="N506" s="21">
        <v>5</v>
      </c>
      <c r="Q506" s="78"/>
    </row>
    <row r="507" spans="1:21" ht="15.75" customHeight="1" x14ac:dyDescent="0.25">
      <c r="A507" s="21" t="s">
        <v>424</v>
      </c>
      <c r="C507" s="22" t="s">
        <v>81</v>
      </c>
      <c r="D507" s="23" t="s">
        <v>356</v>
      </c>
      <c r="E507" s="40"/>
      <c r="G507" s="21" t="s">
        <v>1337</v>
      </c>
      <c r="H507" s="21" t="s">
        <v>1338</v>
      </c>
      <c r="I507" s="21"/>
      <c r="J507" s="38"/>
      <c r="L507" s="13"/>
      <c r="M507" s="27"/>
      <c r="N507" s="21">
        <v>5</v>
      </c>
      <c r="Q507" s="78"/>
    </row>
    <row r="508" spans="1:21" ht="15.75" customHeight="1" x14ac:dyDescent="0.25">
      <c r="C508" s="22" t="s">
        <v>34</v>
      </c>
      <c r="D508" s="23" t="s">
        <v>1339</v>
      </c>
      <c r="E508" s="21">
        <v>816583</v>
      </c>
      <c r="G508" s="21" t="s">
        <v>30</v>
      </c>
      <c r="H508" s="21">
        <v>579</v>
      </c>
      <c r="I508" s="24"/>
      <c r="L508" s="13">
        <f ca="1">DATEDIF(J508, TODAY(), "m")</f>
        <v>1515</v>
      </c>
      <c r="Q508" s="12">
        <v>104</v>
      </c>
    </row>
    <row r="509" spans="1:21" ht="15.75" customHeight="1" x14ac:dyDescent="0.25">
      <c r="C509" s="22" t="s">
        <v>34</v>
      </c>
      <c r="D509" s="23" t="s">
        <v>1339</v>
      </c>
      <c r="E509" s="21">
        <v>816584</v>
      </c>
      <c r="G509" s="21" t="s">
        <v>30</v>
      </c>
      <c r="H509" s="21">
        <v>579</v>
      </c>
      <c r="I509" s="24"/>
      <c r="L509" s="13">
        <f ca="1">DATEDIF(J509, TODAY(), "m")</f>
        <v>1515</v>
      </c>
      <c r="Q509" s="12">
        <v>104</v>
      </c>
    </row>
    <row r="510" spans="1:21" ht="15.75" customHeight="1" x14ac:dyDescent="0.25">
      <c r="C510" s="22" t="s">
        <v>34</v>
      </c>
      <c r="D510" s="23" t="s">
        <v>1339</v>
      </c>
      <c r="E510" s="21">
        <v>816585</v>
      </c>
      <c r="G510" s="21" t="s">
        <v>30</v>
      </c>
      <c r="H510" s="21">
        <v>579</v>
      </c>
      <c r="I510" s="24"/>
      <c r="L510" s="13">
        <f ca="1">DATEDIF(J510, TODAY(), "m")</f>
        <v>1515</v>
      </c>
      <c r="Q510" s="12">
        <v>104</v>
      </c>
    </row>
    <row r="511" spans="1:21" ht="15.75" customHeight="1" x14ac:dyDescent="0.25">
      <c r="A511" s="20"/>
      <c r="B511" s="27"/>
      <c r="C511" s="22" t="s">
        <v>81</v>
      </c>
      <c r="D511" s="26" t="s">
        <v>1286</v>
      </c>
      <c r="E511" s="20">
        <v>815765</v>
      </c>
      <c r="F511" s="20"/>
      <c r="G511" s="20" t="s">
        <v>30</v>
      </c>
      <c r="H511" s="20">
        <v>567</v>
      </c>
      <c r="I511" s="24"/>
      <c r="J511" s="25"/>
      <c r="K511" s="25"/>
      <c r="L511" s="13">
        <f ca="1">DATEDIF(J511, TODAY(), "m")</f>
        <v>1515</v>
      </c>
      <c r="M511" s="25"/>
      <c r="N511" s="20"/>
      <c r="Q511" s="12">
        <v>104</v>
      </c>
    </row>
    <row r="512" spans="1:21" ht="15.75" customHeight="1" x14ac:dyDescent="0.25">
      <c r="A512" s="20"/>
      <c r="C512" s="22" t="s">
        <v>283</v>
      </c>
      <c r="D512" s="23" t="s">
        <v>1340</v>
      </c>
      <c r="E512" s="21">
        <v>810050</v>
      </c>
      <c r="F512" s="20"/>
      <c r="G512" s="20"/>
      <c r="H512" s="20">
        <v>579</v>
      </c>
      <c r="I512" s="24"/>
      <c r="J512" s="25"/>
      <c r="K512" s="25"/>
      <c r="L512" s="13">
        <f ca="1">DATEDIF(J512, TODAY(), "m")</f>
        <v>1515</v>
      </c>
      <c r="M512" s="25"/>
      <c r="N512" s="20"/>
      <c r="Q512" s="12">
        <v>104</v>
      </c>
      <c r="U512" s="28"/>
    </row>
    <row r="513" spans="3:17" ht="15.75" customHeight="1" x14ac:dyDescent="0.25">
      <c r="C513" s="22" t="s">
        <v>283</v>
      </c>
      <c r="D513" s="23" t="s">
        <v>1341</v>
      </c>
      <c r="E513" s="31">
        <v>808650</v>
      </c>
      <c r="H513" s="21">
        <v>579</v>
      </c>
      <c r="I513" s="24"/>
      <c r="L513" s="13">
        <f ca="1">DATEDIF(J513, TODAY(), "m")</f>
        <v>1515</v>
      </c>
      <c r="Q513" s="12">
        <v>104</v>
      </c>
    </row>
    <row r="514" spans="3:17" ht="15.75" customHeight="1" x14ac:dyDescent="0.25">
      <c r="C514" s="22" t="s">
        <v>283</v>
      </c>
      <c r="D514" s="23" t="s">
        <v>858</v>
      </c>
      <c r="E514" s="21">
        <v>829131</v>
      </c>
      <c r="I514" s="24"/>
      <c r="Q514" s="12">
        <v>104</v>
      </c>
    </row>
    <row r="515" spans="3:17" ht="15.75" customHeight="1" x14ac:dyDescent="0.25">
      <c r="I515" s="24"/>
    </row>
    <row r="516" spans="3:17" ht="15.75" customHeight="1" x14ac:dyDescent="0.25">
      <c r="I516" s="24"/>
    </row>
    <row r="517" spans="3:17" ht="15.75" customHeight="1" x14ac:dyDescent="0.25">
      <c r="I517" s="24"/>
    </row>
    <row r="518" spans="3:17" ht="15.75" customHeight="1" x14ac:dyDescent="0.25">
      <c r="I518" s="24"/>
    </row>
    <row r="519" spans="3:17" ht="15.75" customHeight="1" x14ac:dyDescent="0.25">
      <c r="I519" s="24"/>
    </row>
    <row r="520" spans="3:17" ht="15.75" customHeight="1" x14ac:dyDescent="0.25">
      <c r="I520" s="24"/>
    </row>
    <row r="521" spans="3:17" ht="15.75" customHeight="1" x14ac:dyDescent="0.25">
      <c r="I521" s="24"/>
    </row>
    <row r="522" spans="3:17" ht="15.75" customHeight="1" x14ac:dyDescent="0.25">
      <c r="I522" s="24"/>
    </row>
    <row r="523" spans="3:17" ht="15.75" customHeight="1" x14ac:dyDescent="0.25">
      <c r="I523" s="24"/>
    </row>
    <row r="524" spans="3:17" ht="15.75" customHeight="1" x14ac:dyDescent="0.25">
      <c r="I524" s="24"/>
    </row>
    <row r="525" spans="3:17" ht="15.75" customHeight="1" x14ac:dyDescent="0.25">
      <c r="I525" s="24"/>
    </row>
    <row r="526" spans="3:17" ht="15.75" customHeight="1" x14ac:dyDescent="0.25">
      <c r="I526" s="24"/>
    </row>
    <row r="527" spans="3:17" ht="15.75" customHeight="1" x14ac:dyDescent="0.25">
      <c r="I527" s="24"/>
    </row>
    <row r="528" spans="3:17" ht="15.75" customHeight="1" x14ac:dyDescent="0.25">
      <c r="I528" s="24"/>
    </row>
    <row r="529" spans="9:9" ht="15.75" customHeight="1" x14ac:dyDescent="0.25">
      <c r="I529" s="24"/>
    </row>
    <row r="530" spans="9:9" ht="15.75" customHeight="1" x14ac:dyDescent="0.25">
      <c r="I530" s="24"/>
    </row>
    <row r="531" spans="9:9" ht="15.75" customHeight="1" x14ac:dyDescent="0.25">
      <c r="I531" s="24"/>
    </row>
    <row r="532" spans="9:9" ht="15.75" customHeight="1" x14ac:dyDescent="0.25">
      <c r="I532" s="24"/>
    </row>
    <row r="533" spans="9:9" ht="15.75" customHeight="1" x14ac:dyDescent="0.25">
      <c r="I533" s="24"/>
    </row>
    <row r="534" spans="9:9" ht="15.75" customHeight="1" x14ac:dyDescent="0.25">
      <c r="I534" s="24"/>
    </row>
    <row r="535" spans="9:9" ht="15.75" customHeight="1" x14ac:dyDescent="0.25">
      <c r="I535" s="24"/>
    </row>
    <row r="536" spans="9:9" ht="15.75" customHeight="1" x14ac:dyDescent="0.25">
      <c r="I536" s="24"/>
    </row>
    <row r="537" spans="9:9" ht="15.75" customHeight="1" x14ac:dyDescent="0.25">
      <c r="I537" s="24"/>
    </row>
    <row r="538" spans="9:9" ht="15.75" customHeight="1" x14ac:dyDescent="0.25">
      <c r="I538" s="24"/>
    </row>
    <row r="539" spans="9:9" ht="15.75" customHeight="1" x14ac:dyDescent="0.25">
      <c r="I539" s="24"/>
    </row>
    <row r="540" spans="9:9" ht="15.75" customHeight="1" x14ac:dyDescent="0.25">
      <c r="I540" s="24"/>
    </row>
    <row r="541" spans="9:9" ht="15.75" customHeight="1" x14ac:dyDescent="0.25">
      <c r="I541" s="24"/>
    </row>
    <row r="542" spans="9:9" ht="15.75" customHeight="1" x14ac:dyDescent="0.25">
      <c r="I542" s="24"/>
    </row>
    <row r="543" spans="9:9" ht="15.75" customHeight="1" x14ac:dyDescent="0.25">
      <c r="I543" s="24"/>
    </row>
    <row r="544" spans="9:9" ht="15.75" customHeight="1" x14ac:dyDescent="0.25">
      <c r="I544" s="24"/>
    </row>
    <row r="545" spans="9:9" ht="15.75" customHeight="1" x14ac:dyDescent="0.25">
      <c r="I545" s="24"/>
    </row>
    <row r="546" spans="9:9" ht="15.75" customHeight="1" x14ac:dyDescent="0.25">
      <c r="I546" s="24"/>
    </row>
    <row r="547" spans="9:9" ht="15.75" customHeight="1" x14ac:dyDescent="0.25">
      <c r="I547" s="24"/>
    </row>
    <row r="548" spans="9:9" ht="15.75" customHeight="1" x14ac:dyDescent="0.25">
      <c r="I548" s="24"/>
    </row>
    <row r="549" spans="9:9" ht="15.75" customHeight="1" x14ac:dyDescent="0.25">
      <c r="I549" s="24"/>
    </row>
    <row r="550" spans="9:9" ht="15.75" customHeight="1" x14ac:dyDescent="0.25">
      <c r="I550" s="24"/>
    </row>
    <row r="551" spans="9:9" ht="15.75" customHeight="1" x14ac:dyDescent="0.25">
      <c r="I551" s="24"/>
    </row>
    <row r="552" spans="9:9" ht="15.75" customHeight="1" x14ac:dyDescent="0.25">
      <c r="I552" s="24"/>
    </row>
    <row r="553" spans="9:9" ht="15.75" customHeight="1" x14ac:dyDescent="0.25">
      <c r="I553" s="24"/>
    </row>
    <row r="554" spans="9:9" ht="15.75" customHeight="1" x14ac:dyDescent="0.25">
      <c r="I554" s="24"/>
    </row>
    <row r="555" spans="9:9" ht="15.75" customHeight="1" x14ac:dyDescent="0.25">
      <c r="I555" s="24"/>
    </row>
    <row r="556" spans="9:9" ht="15.75" customHeight="1" x14ac:dyDescent="0.25">
      <c r="I556" s="24"/>
    </row>
    <row r="557" spans="9:9" ht="15.75" customHeight="1" x14ac:dyDescent="0.25">
      <c r="I557" s="24"/>
    </row>
    <row r="558" spans="9:9" ht="15.75" customHeight="1" x14ac:dyDescent="0.25">
      <c r="I558" s="24"/>
    </row>
    <row r="559" spans="9:9" ht="15.75" customHeight="1" x14ac:dyDescent="0.25">
      <c r="I559" s="24"/>
    </row>
  </sheetData>
  <autoFilter ref="A1:V514" xr:uid="{00000000-0001-0000-0000-000000000000}">
    <sortState xmlns:xlrd2="http://schemas.microsoft.com/office/spreadsheetml/2017/richdata2" ref="A2:V514">
      <sortCondition ref="A1:A513"/>
    </sortState>
  </autoFilter>
  <pageMargins left="0.25" right="0.25" top="0.75" bottom="0.75" header="0.3" footer="0.3"/>
  <pageSetup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Robinson</dc:creator>
  <cp:lastModifiedBy>John Robinson</cp:lastModifiedBy>
  <dcterms:created xsi:type="dcterms:W3CDTF">2026-04-03T15:23:46Z</dcterms:created>
  <dcterms:modified xsi:type="dcterms:W3CDTF">2026-04-03T15:24:16Z</dcterms:modified>
</cp:coreProperties>
</file>